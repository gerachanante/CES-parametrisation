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psich-my.sharepoint.com/personal/gerardo_escamilla_psi_ch/Documents/05.Models/MERGE updates/CES-parametrisation/"/>
    </mc:Choice>
  </mc:AlternateContent>
  <xr:revisionPtr revIDLastSave="81" documentId="8_{7A61399D-DFB1-4472-B09C-F079332CE624}" xr6:coauthVersionLast="47" xr6:coauthVersionMax="47" xr10:uidLastSave="{335F8AA6-1825-4206-8C17-527F33664671}"/>
  <bookViews>
    <workbookView xWindow="-28995" yWindow="-195" windowWidth="29190" windowHeight="15870" xr2:uid="{7E214DB7-95FD-4F70-BF85-4832479E2D26}"/>
  </bookViews>
  <sheets>
    <sheet name="MERGE macro" sheetId="1" r:id="rId1"/>
  </sheets>
  <definedNames>
    <definedName name="_xlchart.v1.0" hidden="1">'MERGE macro'!$E$11:$E$723</definedName>
    <definedName name="_xlchart.v1.1" hidden="1">'MERGE macro'!$H$11:$H$723</definedName>
    <definedName name="_xlchart.v1.10" hidden="1">'MERGE macro'!$E$11:$E$723</definedName>
    <definedName name="_xlchart.v1.11" hidden="1">'MERGE macro'!$F$11:$F$723</definedName>
    <definedName name="_xlchart.v1.12" hidden="1">'MERGE macro'!$D$11:$D$723</definedName>
    <definedName name="_xlchart.v1.13" hidden="1">'MERGE macro'!$E$11:$E$723</definedName>
    <definedName name="_xlchart.v1.2" hidden="1">'MERGE macro'!$H$12:$H$724</definedName>
    <definedName name="_xlchart.v1.3" hidden="1">'MERGE macro'!$D$11:$D$723</definedName>
    <definedName name="_xlchart.v1.4" hidden="1">'MERGE macro'!$D$11:$D$723</definedName>
    <definedName name="_xlchart.v1.5" hidden="1">'MERGE macro'!$E$11:$E$723</definedName>
    <definedName name="_xlchart.v1.6" hidden="1">'MERGE macro'!$E$11:$E$723</definedName>
    <definedName name="_xlchart.v1.7" hidden="1">'MERGE macro'!$D$11:$D$723</definedName>
    <definedName name="_xlchart.v1.8" hidden="1">'MERGE macro'!$E$11:$E$723</definedName>
    <definedName name="_xlchart.v1.9" hidden="1">'MERGE macro'!$D$11:$D$723</definedName>
  </definedNames>
  <calcPr calcId="0"/>
</workbook>
</file>

<file path=xl/calcChain.xml><?xml version="1.0" encoding="utf-8"?>
<calcChain xmlns="http://schemas.openxmlformats.org/spreadsheetml/2006/main">
  <c r="H7" i="1" l="1"/>
  <c r="G7" i="1"/>
  <c r="F7" i="1"/>
  <c r="E7" i="1"/>
  <c r="D7" i="1"/>
  <c r="H6" i="1"/>
  <c r="G6" i="1"/>
  <c r="F6" i="1"/>
  <c r="E6" i="1"/>
  <c r="D6" i="1"/>
  <c r="H5" i="1"/>
  <c r="G5" i="1"/>
  <c r="F5" i="1"/>
  <c r="E5" i="1"/>
  <c r="D5" i="1"/>
  <c r="H4" i="1"/>
  <c r="G4" i="1"/>
  <c r="F4" i="1"/>
  <c r="E4" i="1"/>
  <c r="D4" i="1"/>
  <c r="H3" i="1"/>
  <c r="G3" i="1"/>
  <c r="F3" i="1"/>
  <c r="E3" i="1"/>
  <c r="D3" i="1"/>
  <c r="H2" i="1"/>
  <c r="F2" i="1"/>
  <c r="G2" i="1"/>
  <c r="E2" i="1"/>
  <c r="D2" i="1"/>
  <c r="H1" i="1"/>
  <c r="G1" i="1"/>
  <c r="F1" i="1"/>
  <c r="E1" i="1"/>
  <c r="D1" i="1"/>
</calcChain>
</file>

<file path=xl/sharedStrings.xml><?xml version="1.0" encoding="utf-8"?>
<sst xmlns="http://schemas.openxmlformats.org/spreadsheetml/2006/main" count="728" uniqueCount="46">
  <si>
    <t>t</t>
  </si>
  <si>
    <t>r</t>
  </si>
  <si>
    <t>P</t>
  </si>
  <si>
    <t>Y</t>
  </si>
  <si>
    <t>C</t>
  </si>
  <si>
    <t>K</t>
  </si>
  <si>
    <t>L</t>
  </si>
  <si>
    <t>E</t>
  </si>
  <si>
    <t>Argentina</t>
  </si>
  <si>
    <t>Australia and New Zealand</t>
  </si>
  <si>
    <t>Brazil</t>
  </si>
  <si>
    <t>Canada</t>
  </si>
  <si>
    <t>Caribbean Extended</t>
  </si>
  <si>
    <t>Central America</t>
  </si>
  <si>
    <t>Central Asia Extended</t>
  </si>
  <si>
    <t>Chile</t>
  </si>
  <si>
    <t>China</t>
  </si>
  <si>
    <t>Eastern Africa</t>
  </si>
  <si>
    <t>EU27</t>
  </si>
  <si>
    <t>India</t>
  </si>
  <si>
    <t>Japan</t>
  </si>
  <si>
    <t>Levant</t>
  </si>
  <si>
    <t>Mexico</t>
  </si>
  <si>
    <t>Middle Africa</t>
  </si>
  <si>
    <t>Non-EU Europe</t>
  </si>
  <si>
    <t>Northern Africa</t>
  </si>
  <si>
    <t>Peninsular West Asia</t>
  </si>
  <si>
    <t>Republic of Korea</t>
  </si>
  <si>
    <t>Russia</t>
  </si>
  <si>
    <t>South Africa</t>
  </si>
  <si>
    <t>South America Cluster</t>
  </si>
  <si>
    <t>South-eastern Asia</t>
  </si>
  <si>
    <t>Southern Africa Cluster</t>
  </si>
  <si>
    <t>Southern Asia Cluster</t>
  </si>
  <si>
    <t>Switzerland</t>
  </si>
  <si>
    <t>Tropical Pacific Islands</t>
  </si>
  <si>
    <t>United Kingdom</t>
  </si>
  <si>
    <t>United States</t>
  </si>
  <si>
    <t>Western Africa</t>
  </si>
  <si>
    <t>n</t>
  </si>
  <si>
    <t>median</t>
  </si>
  <si>
    <t>average</t>
  </si>
  <si>
    <t>max</t>
  </si>
  <si>
    <t>min</t>
  </si>
  <si>
    <t>std error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</si>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</sst>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/>
    <cx:plotArea>
      <cx:plotAreaRegion>
        <cx:series layoutId="clusteredColumn" uniqueId="{030D47FD-4FD0-4579-8223-0E81633177AC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/>
    <cx:plotArea>
      <cx:plotAreaRegion>
        <cx:series layoutId="clusteredColumn" uniqueId="{50C09EE1-AE69-402A-AF86-696C7F2CD96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/>
    <cx:plotArea>
      <cx:plotAreaRegion>
        <cx:series layoutId="clusteredColumn" uniqueId="{AE84CD7D-2E3B-4CE6-813A-C5E33A6780F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/>
    <cx:plotArea>
      <cx:plotAreaRegion>
        <cx:series layoutId="clusteredColumn" uniqueId="{2FE380C5-E6D8-4058-830C-B731D131E62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18A7BC66-5DA4-4D4B-AFF3-FD7527C1246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247648</xdr:colOff>
      <xdr:row>1</xdr:row>
      <xdr:rowOff>38099</xdr:rowOff>
    </xdr:from>
    <xdr:to>
      <xdr:col>15</xdr:col>
      <xdr:colOff>180975</xdr:colOff>
      <xdr:row>16</xdr:row>
      <xdr:rowOff>66674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8DED39A-785A-2563-9A49-F42D7FBD28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76948" y="219074"/>
              <a:ext cx="381952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247648</xdr:colOff>
      <xdr:row>16</xdr:row>
      <xdr:rowOff>133349</xdr:rowOff>
    </xdr:from>
    <xdr:to>
      <xdr:col>15</xdr:col>
      <xdr:colOff>180975</xdr:colOff>
      <xdr:row>31</xdr:row>
      <xdr:rowOff>161924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3ADE995-7703-4678-93CC-F962C23B5D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76948" y="3028949"/>
              <a:ext cx="381952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257173</xdr:colOff>
      <xdr:row>1</xdr:row>
      <xdr:rowOff>38099</xdr:rowOff>
    </xdr:from>
    <xdr:to>
      <xdr:col>21</xdr:col>
      <xdr:colOff>190500</xdr:colOff>
      <xdr:row>16</xdr:row>
      <xdr:rowOff>66674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61E64AD-18A6-4474-9366-81217F593F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72673" y="219074"/>
              <a:ext cx="381952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257173</xdr:colOff>
      <xdr:row>16</xdr:row>
      <xdr:rowOff>133349</xdr:rowOff>
    </xdr:from>
    <xdr:to>
      <xdr:col>21</xdr:col>
      <xdr:colOff>190500</xdr:colOff>
      <xdr:row>31</xdr:row>
      <xdr:rowOff>161924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94E6644-2840-434F-8090-FFDCF96B19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72673" y="3028949"/>
              <a:ext cx="381952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266698</xdr:colOff>
      <xdr:row>32</xdr:row>
      <xdr:rowOff>19049</xdr:rowOff>
    </xdr:from>
    <xdr:to>
      <xdr:col>15</xdr:col>
      <xdr:colOff>200025</xdr:colOff>
      <xdr:row>47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C3D03AA3-15CE-4426-891E-75E9119E22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5998" y="5810249"/>
              <a:ext cx="381952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7F3195-94FB-4C47-B68D-565DA57FB25C}" name="Table1" displayName="Table1" ref="A10:H723" totalsRowShown="0">
  <autoFilter ref="A10:H723" xr:uid="{A37F3195-94FB-4C47-B68D-565DA57FB25C}"/>
  <tableColumns count="8">
    <tableColumn id="1" xr3:uid="{665F6697-9ADA-4560-B3FD-5797969053E8}" name="t"/>
    <tableColumn id="2" xr3:uid="{B695D409-C4E3-4F14-8A6F-CD9A361CC34F}" name="r"/>
    <tableColumn id="3" xr3:uid="{E84DC361-7EF9-4DA0-B78B-648464ED107B}" name="P"/>
    <tableColumn id="4" xr3:uid="{F0709E38-7D66-4EF3-8344-5FE4487E3D38}" name="Y"/>
    <tableColumn id="5" xr3:uid="{3E7CB745-E89C-4D7B-B23D-F1853CA19A34}" name="C"/>
    <tableColumn id="6" xr3:uid="{69BD7534-E3D4-452F-B1FA-647C4BEE8E9B}" name="K"/>
    <tableColumn id="7" xr3:uid="{41601652-AA0A-4304-9B57-894FA7C0EFA9}" name="L"/>
    <tableColumn id="8" xr3:uid="{1AE008ED-EF4A-4D16-8FB7-6B0A4BA83217}" name="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01419-AA29-42F0-AA88-3ACEE86D7D82}">
  <dimension ref="A1:H723"/>
  <sheetViews>
    <sheetView showGridLines="0" tabSelected="1" workbookViewId="0">
      <selection activeCell="D4" sqref="D4"/>
    </sheetView>
  </sheetViews>
  <sheetFormatPr defaultRowHeight="14.25" x14ac:dyDescent="0.45"/>
  <sheetData>
    <row r="1" spans="1:8" x14ac:dyDescent="0.45">
      <c r="C1" t="s">
        <v>39</v>
      </c>
      <c r="D1">
        <f>COUNT(Table1[Y])</f>
        <v>713</v>
      </c>
      <c r="E1">
        <f>COUNT(Table1[C])</f>
        <v>713</v>
      </c>
      <c r="F1">
        <f>COUNT(Table1[K])</f>
        <v>713</v>
      </c>
      <c r="G1">
        <f>COUNT(Table1[L])</f>
        <v>713</v>
      </c>
      <c r="H1">
        <f>COUNT(Table1[E])</f>
        <v>713</v>
      </c>
    </row>
    <row r="2" spans="1:8" x14ac:dyDescent="0.45">
      <c r="C2" t="s">
        <v>41</v>
      </c>
      <c r="D2">
        <f>AVERAGE(Table1[Y])</f>
        <v>3.7215269985974717</v>
      </c>
      <c r="E2">
        <f>AVERAGE(Table1[C])</f>
        <v>1.5809918092566628</v>
      </c>
      <c r="F2">
        <f>AVERAGE(Table1[K])</f>
        <v>0.40616886395511925</v>
      </c>
      <c r="G2">
        <f>AVERAGE(Table1[L])</f>
        <v>103.08868280645153</v>
      </c>
      <c r="H2">
        <f>AVERAGE(Table1[E])</f>
        <v>10272.854137447406</v>
      </c>
    </row>
    <row r="3" spans="1:8" x14ac:dyDescent="0.45">
      <c r="C3" t="s">
        <v>40</v>
      </c>
      <c r="D3">
        <f>MEDIAN(Table1[Y])</f>
        <v>1.76492</v>
      </c>
      <c r="E3">
        <f>MEDIAN(Table1[C])</f>
        <v>0.58028999999999997</v>
      </c>
      <c r="F3">
        <f>MEDIAN(Table1[K])</f>
        <v>0.158</v>
      </c>
      <c r="G3">
        <f>MEDIAN(Table1[L])</f>
        <v>46.418410999999999</v>
      </c>
      <c r="H3">
        <f>MEDIAN(Table1[E])</f>
        <v>4680</v>
      </c>
    </row>
    <row r="4" spans="1:8" x14ac:dyDescent="0.45">
      <c r="C4" t="s">
        <v>42</v>
      </c>
      <c r="D4">
        <f>MAX(Table1[Y])</f>
        <v>30.872</v>
      </c>
      <c r="E4">
        <f>MAX(Table1[C])</f>
        <v>17.678599999999999</v>
      </c>
      <c r="F4">
        <f>MAX(Table1[K])</f>
        <v>4.7750000000000004</v>
      </c>
      <c r="G4">
        <f>MAX(Table1[L])</f>
        <v>785.46557900000005</v>
      </c>
      <c r="H4">
        <f>MAX(Table1[E])</f>
        <v>87513</v>
      </c>
    </row>
    <row r="5" spans="1:8" x14ac:dyDescent="0.45">
      <c r="C5" t="s">
        <v>43</v>
      </c>
      <c r="D5">
        <f>MIN(Table1[Y])</f>
        <v>3.065E-2</v>
      </c>
      <c r="E5">
        <f>MIN(Table1[C])</f>
        <v>8.9999999999999998E-4</v>
      </c>
      <c r="F5">
        <f>MIN(Table1[K])</f>
        <v>1E-4</v>
      </c>
      <c r="G5">
        <f>MIN(Table1[L])</f>
        <v>2.3736160000000002</v>
      </c>
      <c r="H5">
        <f>MIN(Table1[E])</f>
        <v>153</v>
      </c>
    </row>
    <row r="6" spans="1:8" x14ac:dyDescent="0.45">
      <c r="C6" t="s">
        <v>45</v>
      </c>
      <c r="D6">
        <f>STDEV(Table1[Y])</f>
        <v>5.5410357012263649</v>
      </c>
      <c r="E6">
        <f>STDEV(Table1[C])</f>
        <v>2.9982176073713109</v>
      </c>
      <c r="F6">
        <f>STDEV(Table1[K])</f>
        <v>0.77169403520631474</v>
      </c>
      <c r="G6">
        <f>STDEV(Table1[L])</f>
        <v>157.83409001231311</v>
      </c>
      <c r="H6">
        <f>STDEV(Table1[E])</f>
        <v>15702.780116284492</v>
      </c>
    </row>
    <row r="7" spans="1:8" x14ac:dyDescent="0.45">
      <c r="C7" t="s">
        <v>44</v>
      </c>
      <c r="D7">
        <f>D6/SQRT(D1)</f>
        <v>0.20751341781340765</v>
      </c>
      <c r="E7">
        <f t="shared" ref="E7:H7" si="0">E6/SQRT(E1)</f>
        <v>0.11228413181244383</v>
      </c>
      <c r="F7">
        <f t="shared" si="0"/>
        <v>2.8900168738570004E-2</v>
      </c>
      <c r="G7">
        <f t="shared" si="0"/>
        <v>5.9109331236893423</v>
      </c>
      <c r="H7">
        <f t="shared" si="0"/>
        <v>588.07373689749386</v>
      </c>
    </row>
    <row r="10" spans="1:8" x14ac:dyDescent="0.4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</row>
    <row r="11" spans="1:8" x14ac:dyDescent="0.45">
      <c r="A11">
        <v>2000</v>
      </c>
      <c r="B11" t="s">
        <v>8</v>
      </c>
      <c r="C11">
        <v>37.200000000000003</v>
      </c>
      <c r="D11">
        <v>0.82918000000000003</v>
      </c>
      <c r="E11">
        <v>0.30882999999999999</v>
      </c>
      <c r="F11">
        <v>5.0999999999999997E-2</v>
      </c>
      <c r="G11">
        <v>16.660492000000001</v>
      </c>
      <c r="H11">
        <v>1840</v>
      </c>
    </row>
    <row r="12" spans="1:8" x14ac:dyDescent="0.45">
      <c r="A12">
        <v>2000</v>
      </c>
      <c r="B12" t="s">
        <v>9</v>
      </c>
      <c r="C12">
        <v>23</v>
      </c>
      <c r="D12">
        <v>0.99495999999999996</v>
      </c>
      <c r="E12">
        <v>0.71177999999999997</v>
      </c>
      <c r="F12">
        <v>0.21099999999999999</v>
      </c>
      <c r="G12">
        <v>11.472372</v>
      </c>
      <c r="H12">
        <v>3226</v>
      </c>
    </row>
    <row r="13" spans="1:8" x14ac:dyDescent="0.45">
      <c r="A13">
        <v>2000</v>
      </c>
      <c r="B13" t="s">
        <v>10</v>
      </c>
      <c r="C13">
        <v>174</v>
      </c>
      <c r="D13">
        <v>2.4371900000000002</v>
      </c>
      <c r="E13">
        <v>0.96079000000000003</v>
      </c>
      <c r="F13">
        <v>0.20899999999999999</v>
      </c>
      <c r="G13">
        <v>80.295092999999994</v>
      </c>
      <c r="H13">
        <v>4744</v>
      </c>
    </row>
    <row r="14" spans="1:8" x14ac:dyDescent="0.45">
      <c r="A14">
        <v>2000</v>
      </c>
      <c r="B14" t="s">
        <v>11</v>
      </c>
      <c r="C14">
        <v>30.9</v>
      </c>
      <c r="D14">
        <v>1.4851700000000001</v>
      </c>
      <c r="E14">
        <v>0.83255000000000001</v>
      </c>
      <c r="F14">
        <v>0.23699999999999999</v>
      </c>
      <c r="G14">
        <v>16.186923</v>
      </c>
      <c r="H14">
        <v>6995</v>
      </c>
    </row>
    <row r="15" spans="1:8" x14ac:dyDescent="0.45">
      <c r="A15">
        <v>2000</v>
      </c>
      <c r="B15" t="s">
        <v>12</v>
      </c>
      <c r="C15">
        <v>38.4</v>
      </c>
      <c r="D15">
        <v>0.21335000000000001</v>
      </c>
      <c r="E15">
        <v>9.2509999999999995E-2</v>
      </c>
      <c r="F15">
        <v>1.7000000000000001E-2</v>
      </c>
      <c r="G15">
        <v>13.339442999999999</v>
      </c>
      <c r="H15">
        <v>903</v>
      </c>
    </row>
    <row r="16" spans="1:8" x14ac:dyDescent="0.45">
      <c r="A16">
        <v>2000</v>
      </c>
      <c r="B16" t="s">
        <v>13</v>
      </c>
      <c r="C16">
        <v>36.4</v>
      </c>
      <c r="D16">
        <v>0.30386999999999997</v>
      </c>
      <c r="E16">
        <v>0.10968</v>
      </c>
      <c r="F16">
        <v>2.5999999999999999E-2</v>
      </c>
      <c r="G16">
        <v>13.618774</v>
      </c>
      <c r="H16">
        <v>743</v>
      </c>
    </row>
    <row r="17" spans="1:8" x14ac:dyDescent="0.45">
      <c r="A17">
        <v>2000</v>
      </c>
      <c r="B17" t="s">
        <v>14</v>
      </c>
      <c r="C17">
        <v>74.3</v>
      </c>
      <c r="D17">
        <v>0.43236999999999998</v>
      </c>
      <c r="E17">
        <v>7.3429999999999995E-2</v>
      </c>
      <c r="F17">
        <v>1.4E-2</v>
      </c>
      <c r="G17">
        <v>31.835920999999999</v>
      </c>
      <c r="H17">
        <v>3718</v>
      </c>
    </row>
    <row r="18" spans="1:8" x14ac:dyDescent="0.45">
      <c r="A18">
        <v>2000</v>
      </c>
      <c r="B18" t="s">
        <v>15</v>
      </c>
      <c r="C18">
        <v>15.5</v>
      </c>
      <c r="D18">
        <v>0.27171000000000001</v>
      </c>
      <c r="E18">
        <v>8.8419999999999999E-2</v>
      </c>
      <c r="F18">
        <v>2.1999999999999999E-2</v>
      </c>
      <c r="G18">
        <v>6.3437330000000003</v>
      </c>
      <c r="H18">
        <v>754</v>
      </c>
    </row>
    <row r="19" spans="1:8" x14ac:dyDescent="0.45">
      <c r="A19">
        <v>2000</v>
      </c>
      <c r="B19" t="s">
        <v>16</v>
      </c>
      <c r="C19">
        <v>1299.0999999999999</v>
      </c>
      <c r="D19">
        <v>5.4236399999999998</v>
      </c>
      <c r="E19">
        <v>1.85625</v>
      </c>
      <c r="F19">
        <v>4.9000000000000002E-2</v>
      </c>
      <c r="G19">
        <v>710.41481399999998</v>
      </c>
      <c r="H19">
        <v>29933</v>
      </c>
    </row>
    <row r="20" spans="1:8" x14ac:dyDescent="0.45">
      <c r="A20">
        <v>2000</v>
      </c>
      <c r="B20" t="s">
        <v>17</v>
      </c>
      <c r="C20">
        <v>259.5</v>
      </c>
      <c r="D20">
        <v>0.43208999999999997</v>
      </c>
      <c r="E20">
        <v>8.2809999999999995E-2</v>
      </c>
      <c r="F20">
        <v>1.2999999999999999E-2</v>
      </c>
      <c r="G20">
        <v>106.404984</v>
      </c>
      <c r="H20">
        <v>3493</v>
      </c>
    </row>
    <row r="21" spans="1:8" x14ac:dyDescent="0.45">
      <c r="A21">
        <v>2000</v>
      </c>
      <c r="B21" t="s">
        <v>18</v>
      </c>
      <c r="C21">
        <v>427.6</v>
      </c>
      <c r="D21">
        <v>17.2455</v>
      </c>
      <c r="E21">
        <v>8.5836799999999993</v>
      </c>
      <c r="F21">
        <v>2.4500000000000002</v>
      </c>
      <c r="G21">
        <v>197.45529199999999</v>
      </c>
      <c r="H21">
        <v>39940</v>
      </c>
    </row>
    <row r="22" spans="1:8" x14ac:dyDescent="0.45">
      <c r="A22">
        <v>2000</v>
      </c>
      <c r="B22" t="s">
        <v>19</v>
      </c>
      <c r="C22">
        <v>1057.9000000000001</v>
      </c>
      <c r="D22">
        <v>3.2790300000000001</v>
      </c>
      <c r="E22">
        <v>0.61445000000000005</v>
      </c>
      <c r="F22">
        <v>0.17100000000000001</v>
      </c>
      <c r="G22">
        <v>409.617771</v>
      </c>
      <c r="H22">
        <v>11571</v>
      </c>
    </row>
    <row r="23" spans="1:8" x14ac:dyDescent="0.45">
      <c r="A23">
        <v>2000</v>
      </c>
      <c r="B23" t="s">
        <v>20</v>
      </c>
      <c r="C23">
        <v>127</v>
      </c>
      <c r="D23">
        <v>4.9476300000000002</v>
      </c>
      <c r="E23">
        <v>2.9096199999999999</v>
      </c>
      <c r="F23">
        <v>1.2010000000000001</v>
      </c>
      <c r="G23">
        <v>67.814564000000004</v>
      </c>
      <c r="H23">
        <v>12648</v>
      </c>
    </row>
    <row r="24" spans="1:8" x14ac:dyDescent="0.45">
      <c r="A24">
        <v>2000</v>
      </c>
      <c r="B24" t="s">
        <v>21</v>
      </c>
      <c r="C24">
        <v>101</v>
      </c>
      <c r="D24">
        <v>1.4102600000000001</v>
      </c>
      <c r="E24">
        <v>0.52878999999999998</v>
      </c>
      <c r="F24">
        <v>0.13500000000000001</v>
      </c>
      <c r="G24">
        <v>33.684997000000003</v>
      </c>
      <c r="H24">
        <v>3426</v>
      </c>
    </row>
    <row r="25" spans="1:8" x14ac:dyDescent="0.45">
      <c r="A25">
        <v>2000</v>
      </c>
      <c r="B25" t="s">
        <v>22</v>
      </c>
      <c r="C25">
        <v>98.6</v>
      </c>
      <c r="D25">
        <v>2.01891</v>
      </c>
      <c r="E25">
        <v>0.74638000000000004</v>
      </c>
      <c r="F25">
        <v>0.19700000000000001</v>
      </c>
      <c r="G25">
        <v>38.589713000000003</v>
      </c>
      <c r="H25">
        <v>3734</v>
      </c>
    </row>
    <row r="26" spans="1:8" x14ac:dyDescent="0.45">
      <c r="A26">
        <v>2000</v>
      </c>
      <c r="B26" t="s">
        <v>23</v>
      </c>
      <c r="C26">
        <v>99.2</v>
      </c>
      <c r="D26">
        <v>0.27695999999999998</v>
      </c>
      <c r="E26">
        <v>3.415E-2</v>
      </c>
      <c r="F26">
        <v>7.0000000000000001E-3</v>
      </c>
      <c r="G26">
        <v>39.856551000000003</v>
      </c>
      <c r="H26">
        <v>1215</v>
      </c>
    </row>
    <row r="27" spans="1:8" x14ac:dyDescent="0.45">
      <c r="A27">
        <v>2000</v>
      </c>
      <c r="B27" t="s">
        <v>24</v>
      </c>
      <c r="C27">
        <v>79</v>
      </c>
      <c r="D27">
        <v>1.1788799999999999</v>
      </c>
      <c r="E27">
        <v>0.28505999999999998</v>
      </c>
      <c r="F27">
        <v>0.09</v>
      </c>
      <c r="G27">
        <v>39.612406999999997</v>
      </c>
      <c r="H27">
        <v>5444</v>
      </c>
    </row>
    <row r="28" spans="1:8" x14ac:dyDescent="0.45">
      <c r="A28">
        <v>2000</v>
      </c>
      <c r="B28" t="s">
        <v>25</v>
      </c>
      <c r="C28">
        <v>175.6</v>
      </c>
      <c r="D28">
        <v>1.53739</v>
      </c>
      <c r="E28">
        <v>0.30652000000000001</v>
      </c>
      <c r="F28">
        <v>7.1999999999999995E-2</v>
      </c>
      <c r="G28">
        <v>52.633110000000002</v>
      </c>
      <c r="H28">
        <v>3083</v>
      </c>
    </row>
    <row r="29" spans="1:8" x14ac:dyDescent="0.45">
      <c r="A29">
        <v>2000</v>
      </c>
      <c r="B29" t="s">
        <v>26</v>
      </c>
      <c r="C29">
        <v>135.69999999999999</v>
      </c>
      <c r="D29">
        <v>2.5749499999999999</v>
      </c>
      <c r="E29">
        <v>0.41611999999999999</v>
      </c>
      <c r="F29">
        <v>0.13800000000000001</v>
      </c>
      <c r="G29">
        <v>39.168543</v>
      </c>
      <c r="H29">
        <v>8611</v>
      </c>
    </row>
    <row r="30" spans="1:8" x14ac:dyDescent="0.45">
      <c r="A30">
        <v>2000</v>
      </c>
      <c r="B30" t="s">
        <v>27</v>
      </c>
      <c r="C30">
        <v>46.8</v>
      </c>
      <c r="D30">
        <v>1.1804300000000001</v>
      </c>
      <c r="E30">
        <v>0.55503999999999998</v>
      </c>
      <c r="F30">
        <v>0.27100000000000002</v>
      </c>
      <c r="G30">
        <v>22.567537000000002</v>
      </c>
      <c r="H30">
        <v>4315</v>
      </c>
    </row>
    <row r="31" spans="1:8" x14ac:dyDescent="0.45">
      <c r="A31">
        <v>2000</v>
      </c>
      <c r="B31" t="s">
        <v>28</v>
      </c>
      <c r="C31">
        <v>146.69999999999999</v>
      </c>
      <c r="D31">
        <v>2.9472900000000002</v>
      </c>
      <c r="E31">
        <v>0.46845999999999999</v>
      </c>
      <c r="F31">
        <v>0.11799999999999999</v>
      </c>
      <c r="G31">
        <v>73.693612999999999</v>
      </c>
      <c r="H31">
        <v>16506</v>
      </c>
    </row>
    <row r="32" spans="1:8" x14ac:dyDescent="0.45">
      <c r="A32">
        <v>2000</v>
      </c>
      <c r="B32" t="s">
        <v>29</v>
      </c>
      <c r="C32">
        <v>47.2</v>
      </c>
      <c r="D32">
        <v>0.52807000000000004</v>
      </c>
      <c r="E32">
        <v>0.17133000000000001</v>
      </c>
      <c r="F32">
        <v>2.9000000000000001E-2</v>
      </c>
      <c r="G32">
        <v>18.890253000000001</v>
      </c>
      <c r="H32">
        <v>1941</v>
      </c>
    </row>
    <row r="33" spans="1:8" x14ac:dyDescent="0.45">
      <c r="A33">
        <v>2000</v>
      </c>
      <c r="B33" t="s">
        <v>30</v>
      </c>
      <c r="C33">
        <v>121.3</v>
      </c>
      <c r="D33">
        <v>0.92222000000000004</v>
      </c>
      <c r="E33">
        <v>0.30610999999999999</v>
      </c>
      <c r="F33">
        <v>5.2999999999999999E-2</v>
      </c>
      <c r="G33">
        <v>52.641978999999999</v>
      </c>
      <c r="H33">
        <v>3205</v>
      </c>
    </row>
    <row r="34" spans="1:8" x14ac:dyDescent="0.45">
      <c r="A34">
        <v>2000</v>
      </c>
      <c r="B34" t="s">
        <v>31</v>
      </c>
      <c r="C34">
        <v>550.79999999999995</v>
      </c>
      <c r="D34">
        <v>3.5916600000000001</v>
      </c>
      <c r="E34">
        <v>0.79103000000000001</v>
      </c>
      <c r="F34">
        <v>0.28299999999999997</v>
      </c>
      <c r="G34">
        <v>259.99067700000001</v>
      </c>
      <c r="H34">
        <v>11545</v>
      </c>
    </row>
    <row r="35" spans="1:8" x14ac:dyDescent="0.45">
      <c r="A35">
        <v>2000</v>
      </c>
      <c r="B35" t="s">
        <v>32</v>
      </c>
      <c r="C35">
        <v>6.5</v>
      </c>
      <c r="D35">
        <v>4.6730000000000001E-2</v>
      </c>
      <c r="E35">
        <v>1.0659999999999999E-2</v>
      </c>
      <c r="F35">
        <v>2E-3</v>
      </c>
      <c r="G35">
        <v>2.3736160000000002</v>
      </c>
      <c r="H35">
        <v>153</v>
      </c>
    </row>
    <row r="36" spans="1:8" x14ac:dyDescent="0.45">
      <c r="A36">
        <v>2000</v>
      </c>
      <c r="B36" t="s">
        <v>33</v>
      </c>
      <c r="C36">
        <v>354.3</v>
      </c>
      <c r="D36">
        <v>1.1330800000000001</v>
      </c>
      <c r="E36">
        <v>0.2261</v>
      </c>
      <c r="F36">
        <v>4.2000000000000003E-2</v>
      </c>
      <c r="G36">
        <v>112.160854</v>
      </c>
      <c r="H36">
        <v>3348</v>
      </c>
    </row>
    <row r="37" spans="1:8" x14ac:dyDescent="0.45">
      <c r="A37">
        <v>2000</v>
      </c>
      <c r="B37" t="s">
        <v>34</v>
      </c>
      <c r="C37">
        <v>7.2</v>
      </c>
      <c r="D37">
        <v>0.48405999999999999</v>
      </c>
      <c r="E37">
        <v>0.35287000000000002</v>
      </c>
      <c r="F37">
        <v>0.14000000000000001</v>
      </c>
      <c r="G37">
        <v>3.9947539999999999</v>
      </c>
      <c r="H37">
        <v>797</v>
      </c>
    </row>
    <row r="38" spans="1:8" x14ac:dyDescent="0.45">
      <c r="A38">
        <v>2000</v>
      </c>
      <c r="B38" t="s">
        <v>35</v>
      </c>
      <c r="C38">
        <v>8.4</v>
      </c>
      <c r="D38">
        <v>3.065E-2</v>
      </c>
      <c r="E38">
        <v>9.3000000000000005E-4</v>
      </c>
      <c r="F38" s="1">
        <v>1E-4</v>
      </c>
      <c r="G38">
        <v>3.3992390000000001</v>
      </c>
      <c r="H38">
        <v>174</v>
      </c>
    </row>
    <row r="39" spans="1:8" x14ac:dyDescent="0.45">
      <c r="A39">
        <v>2000</v>
      </c>
      <c r="B39" t="s">
        <v>36</v>
      </c>
      <c r="C39">
        <v>59.1</v>
      </c>
      <c r="D39">
        <v>2.5469599999999999</v>
      </c>
      <c r="E39">
        <v>1.85999</v>
      </c>
      <c r="F39">
        <v>0.38800000000000001</v>
      </c>
      <c r="G39">
        <v>29.283662</v>
      </c>
      <c r="H39">
        <v>6088</v>
      </c>
    </row>
    <row r="40" spans="1:8" x14ac:dyDescent="0.45">
      <c r="A40">
        <v>2000</v>
      </c>
      <c r="B40" t="s">
        <v>37</v>
      </c>
      <c r="C40">
        <v>281.5</v>
      </c>
      <c r="D40">
        <v>15.5298</v>
      </c>
      <c r="E40">
        <v>9.2951099999999993</v>
      </c>
      <c r="F40">
        <v>2.4390000000000001</v>
      </c>
      <c r="G40">
        <v>147.13988699999999</v>
      </c>
      <c r="H40">
        <v>59953</v>
      </c>
    </row>
    <row r="41" spans="1:8" x14ac:dyDescent="0.45">
      <c r="A41">
        <v>2000</v>
      </c>
      <c r="B41" t="s">
        <v>38</v>
      </c>
      <c r="C41">
        <v>242.6</v>
      </c>
      <c r="D41">
        <v>0.73516999999999999</v>
      </c>
      <c r="E41">
        <v>6.2269999999999999E-2</v>
      </c>
      <c r="F41">
        <v>0.01</v>
      </c>
      <c r="G41">
        <v>103.109989</v>
      </c>
      <c r="H41">
        <v>2238</v>
      </c>
    </row>
    <row r="42" spans="1:8" x14ac:dyDescent="0.45">
      <c r="A42">
        <v>2001</v>
      </c>
      <c r="B42" t="s">
        <v>8</v>
      </c>
      <c r="C42">
        <v>37.6</v>
      </c>
      <c r="D42">
        <v>0.79261999999999999</v>
      </c>
      <c r="E42">
        <v>0.29289999999999999</v>
      </c>
      <c r="F42">
        <v>4.2999999999999997E-2</v>
      </c>
      <c r="G42">
        <v>16.712140000000002</v>
      </c>
      <c r="H42">
        <v>1659</v>
      </c>
    </row>
    <row r="43" spans="1:8" x14ac:dyDescent="0.45">
      <c r="A43">
        <v>2001</v>
      </c>
      <c r="B43" t="s">
        <v>9</v>
      </c>
      <c r="C43">
        <v>23.3</v>
      </c>
      <c r="D43">
        <v>1.01702</v>
      </c>
      <c r="E43">
        <v>0.73299999999999998</v>
      </c>
      <c r="F43">
        <v>0.19800000000000001</v>
      </c>
      <c r="G43">
        <v>11.675789999999999</v>
      </c>
      <c r="H43">
        <v>3268</v>
      </c>
    </row>
    <row r="44" spans="1:8" x14ac:dyDescent="0.45">
      <c r="A44">
        <v>2001</v>
      </c>
      <c r="B44" t="s">
        <v>10</v>
      </c>
      <c r="C44">
        <v>176.3</v>
      </c>
      <c r="D44">
        <v>2.47106</v>
      </c>
      <c r="E44">
        <v>0.97219999999999995</v>
      </c>
      <c r="F44">
        <v>0.21099999999999999</v>
      </c>
      <c r="G44">
        <v>82.303563999999994</v>
      </c>
      <c r="H44">
        <v>4747</v>
      </c>
    </row>
    <row r="45" spans="1:8" x14ac:dyDescent="0.45">
      <c r="A45">
        <v>2001</v>
      </c>
      <c r="B45" t="s">
        <v>11</v>
      </c>
      <c r="C45">
        <v>31.2</v>
      </c>
      <c r="D45">
        <v>1.51302</v>
      </c>
      <c r="E45">
        <v>0.85470999999999997</v>
      </c>
      <c r="F45">
        <v>0.248</v>
      </c>
      <c r="G45">
        <v>16.454899999999999</v>
      </c>
      <c r="H45">
        <v>6742</v>
      </c>
    </row>
    <row r="46" spans="1:8" x14ac:dyDescent="0.45">
      <c r="A46">
        <v>2001</v>
      </c>
      <c r="B46" t="s">
        <v>12</v>
      </c>
      <c r="C46">
        <v>38.700000000000003</v>
      </c>
      <c r="D46">
        <v>0.21759000000000001</v>
      </c>
      <c r="E46">
        <v>9.493E-2</v>
      </c>
      <c r="F46">
        <v>1.6E-2</v>
      </c>
      <c r="G46">
        <v>13.484311999999999</v>
      </c>
      <c r="H46">
        <v>906</v>
      </c>
    </row>
    <row r="47" spans="1:8" x14ac:dyDescent="0.45">
      <c r="A47">
        <v>2001</v>
      </c>
      <c r="B47" t="s">
        <v>13</v>
      </c>
      <c r="C47">
        <v>37.1</v>
      </c>
      <c r="D47">
        <v>0.31068000000000001</v>
      </c>
      <c r="E47">
        <v>0.11365</v>
      </c>
      <c r="F47">
        <v>2.5000000000000001E-2</v>
      </c>
      <c r="G47">
        <v>13.974147</v>
      </c>
      <c r="H47">
        <v>754</v>
      </c>
    </row>
    <row r="48" spans="1:8" x14ac:dyDescent="0.45">
      <c r="A48">
        <v>2001</v>
      </c>
      <c r="B48" t="s">
        <v>14</v>
      </c>
      <c r="C48">
        <v>74.8</v>
      </c>
      <c r="D48">
        <v>0.47320000000000001</v>
      </c>
      <c r="E48">
        <v>7.9750000000000001E-2</v>
      </c>
      <c r="F48">
        <v>1.6E-2</v>
      </c>
      <c r="G48">
        <v>32.356510999999998</v>
      </c>
      <c r="H48">
        <v>3850</v>
      </c>
    </row>
    <row r="49" spans="1:8" x14ac:dyDescent="0.45">
      <c r="A49">
        <v>2001</v>
      </c>
      <c r="B49" t="s">
        <v>15</v>
      </c>
      <c r="C49">
        <v>15.7</v>
      </c>
      <c r="D49">
        <v>0.28027999999999997</v>
      </c>
      <c r="E49">
        <v>9.0200000000000002E-2</v>
      </c>
      <c r="F49">
        <v>2.3E-2</v>
      </c>
      <c r="G49">
        <v>6.3550649999999997</v>
      </c>
      <c r="H49">
        <v>758</v>
      </c>
    </row>
    <row r="50" spans="1:8" x14ac:dyDescent="0.45">
      <c r="A50">
        <v>2001</v>
      </c>
      <c r="B50" t="s">
        <v>16</v>
      </c>
      <c r="C50">
        <v>1308.4000000000001</v>
      </c>
      <c r="D50">
        <v>5.8525900000000002</v>
      </c>
      <c r="E50">
        <v>1.9756899999999999</v>
      </c>
      <c r="F50">
        <v>0.05</v>
      </c>
      <c r="G50">
        <v>719.56601699999999</v>
      </c>
      <c r="H50">
        <v>30080</v>
      </c>
    </row>
    <row r="51" spans="1:8" x14ac:dyDescent="0.45">
      <c r="A51">
        <v>2001</v>
      </c>
      <c r="B51" t="s">
        <v>17</v>
      </c>
      <c r="C51">
        <v>266.8</v>
      </c>
      <c r="D51">
        <v>0.45286999999999999</v>
      </c>
      <c r="E51">
        <v>8.5860000000000006E-2</v>
      </c>
      <c r="F51">
        <v>1.4E-2</v>
      </c>
      <c r="G51">
        <v>109.558109</v>
      </c>
      <c r="H51">
        <v>3605</v>
      </c>
    </row>
    <row r="52" spans="1:8" x14ac:dyDescent="0.45">
      <c r="A52">
        <v>2001</v>
      </c>
      <c r="B52" t="s">
        <v>18</v>
      </c>
      <c r="C52">
        <v>428.6</v>
      </c>
      <c r="D52">
        <v>17.633199999999999</v>
      </c>
      <c r="E52">
        <v>8.7545699999999993</v>
      </c>
      <c r="F52">
        <v>2.4740000000000002</v>
      </c>
      <c r="G52">
        <v>197.86825899999999</v>
      </c>
      <c r="H52">
        <v>41016</v>
      </c>
    </row>
    <row r="53" spans="1:8" x14ac:dyDescent="0.45">
      <c r="A53">
        <v>2001</v>
      </c>
      <c r="B53" t="s">
        <v>19</v>
      </c>
      <c r="C53">
        <v>1077.9000000000001</v>
      </c>
      <c r="D53">
        <v>3.4372099999999999</v>
      </c>
      <c r="E53">
        <v>0.64751999999999998</v>
      </c>
      <c r="F53">
        <v>0.20899999999999999</v>
      </c>
      <c r="G53">
        <v>418.76492200000001</v>
      </c>
      <c r="H53">
        <v>11484</v>
      </c>
    </row>
    <row r="54" spans="1:8" x14ac:dyDescent="0.45">
      <c r="A54">
        <v>2001</v>
      </c>
      <c r="B54" t="s">
        <v>20</v>
      </c>
      <c r="C54">
        <v>127.3</v>
      </c>
      <c r="D54">
        <v>4.9667300000000001</v>
      </c>
      <c r="E54">
        <v>2.9715699999999998</v>
      </c>
      <c r="F54">
        <v>1.1850000000000001</v>
      </c>
      <c r="G54">
        <v>67.616592999999995</v>
      </c>
      <c r="H54">
        <v>12548</v>
      </c>
    </row>
    <row r="55" spans="1:8" x14ac:dyDescent="0.45">
      <c r="A55">
        <v>2001</v>
      </c>
      <c r="B55" t="s">
        <v>21</v>
      </c>
      <c r="C55">
        <v>102.7</v>
      </c>
      <c r="D55">
        <v>1.35975</v>
      </c>
      <c r="E55">
        <v>0.51585000000000003</v>
      </c>
      <c r="F55">
        <v>0.112</v>
      </c>
      <c r="G55">
        <v>34.242286999999997</v>
      </c>
      <c r="H55">
        <v>3211</v>
      </c>
    </row>
    <row r="56" spans="1:8" x14ac:dyDescent="0.45">
      <c r="A56">
        <v>2001</v>
      </c>
      <c r="B56" t="s">
        <v>22</v>
      </c>
      <c r="C56">
        <v>100.1</v>
      </c>
      <c r="D56">
        <v>2.0098099999999999</v>
      </c>
      <c r="E56">
        <v>0.76143000000000005</v>
      </c>
      <c r="F56">
        <v>0.183</v>
      </c>
      <c r="G56">
        <v>39.008021999999997</v>
      </c>
      <c r="H56">
        <v>3640</v>
      </c>
    </row>
    <row r="57" spans="1:8" x14ac:dyDescent="0.45">
      <c r="A57">
        <v>2001</v>
      </c>
      <c r="B57" t="s">
        <v>23</v>
      </c>
      <c r="C57">
        <v>102.4</v>
      </c>
      <c r="D57">
        <v>0.29104000000000002</v>
      </c>
      <c r="E57">
        <v>3.5189999999999999E-2</v>
      </c>
      <c r="F57">
        <v>8.0000000000000002E-3</v>
      </c>
      <c r="G57">
        <v>41.115811000000001</v>
      </c>
      <c r="H57">
        <v>1248</v>
      </c>
    </row>
    <row r="58" spans="1:8" x14ac:dyDescent="0.45">
      <c r="A58">
        <v>2001</v>
      </c>
      <c r="B58" t="s">
        <v>24</v>
      </c>
      <c r="C58">
        <v>78.5</v>
      </c>
      <c r="D58">
        <v>1.24613</v>
      </c>
      <c r="E58">
        <v>0.29698999999999998</v>
      </c>
      <c r="F58">
        <v>9.0999999999999998E-2</v>
      </c>
      <c r="G58">
        <v>39.573726000000001</v>
      </c>
      <c r="H58">
        <v>5237</v>
      </c>
    </row>
    <row r="59" spans="1:8" x14ac:dyDescent="0.45">
      <c r="A59">
        <v>2001</v>
      </c>
      <c r="B59" t="s">
        <v>25</v>
      </c>
      <c r="C59">
        <v>178.9</v>
      </c>
      <c r="D59">
        <v>1.5947899999999999</v>
      </c>
      <c r="E59">
        <v>0.31953999999999999</v>
      </c>
      <c r="F59">
        <v>7.2999999999999995E-2</v>
      </c>
      <c r="G59">
        <v>53.311059</v>
      </c>
      <c r="H59">
        <v>3170</v>
      </c>
    </row>
    <row r="60" spans="1:8" x14ac:dyDescent="0.45">
      <c r="A60">
        <v>2001</v>
      </c>
      <c r="B60" t="s">
        <v>26</v>
      </c>
      <c r="C60">
        <v>139.30000000000001</v>
      </c>
      <c r="D60">
        <v>2.6133600000000001</v>
      </c>
      <c r="E60">
        <v>0.59067000000000003</v>
      </c>
      <c r="F60">
        <v>0.158</v>
      </c>
      <c r="G60">
        <v>40.910060000000001</v>
      </c>
      <c r="H60">
        <v>8977</v>
      </c>
    </row>
    <row r="61" spans="1:8" x14ac:dyDescent="0.45">
      <c r="A61">
        <v>2001</v>
      </c>
      <c r="B61" t="s">
        <v>27</v>
      </c>
      <c r="C61">
        <v>47</v>
      </c>
      <c r="D61">
        <v>1.2377100000000001</v>
      </c>
      <c r="E61">
        <v>0.58781000000000005</v>
      </c>
      <c r="F61">
        <v>0.27700000000000002</v>
      </c>
      <c r="G61">
        <v>22.938752999999998</v>
      </c>
      <c r="H61">
        <v>4374</v>
      </c>
    </row>
    <row r="62" spans="1:8" x14ac:dyDescent="0.45">
      <c r="A62">
        <v>2001</v>
      </c>
      <c r="B62" t="s">
        <v>28</v>
      </c>
      <c r="C62">
        <v>146.1</v>
      </c>
      <c r="D62">
        <v>3.09761</v>
      </c>
      <c r="E62">
        <v>0.50031000000000003</v>
      </c>
      <c r="F62">
        <v>0.13</v>
      </c>
      <c r="G62">
        <v>72.448221000000004</v>
      </c>
      <c r="H62">
        <v>16577</v>
      </c>
    </row>
    <row r="63" spans="1:8" x14ac:dyDescent="0.45">
      <c r="A63">
        <v>2001</v>
      </c>
      <c r="B63" t="s">
        <v>29</v>
      </c>
      <c r="C63">
        <v>47.6</v>
      </c>
      <c r="D63">
        <v>0.54232999999999998</v>
      </c>
      <c r="E63">
        <v>0.17716000000000001</v>
      </c>
      <c r="F63">
        <v>0.03</v>
      </c>
      <c r="G63">
        <v>19.206997999999999</v>
      </c>
      <c r="H63">
        <v>1957</v>
      </c>
    </row>
    <row r="64" spans="1:8" x14ac:dyDescent="0.45">
      <c r="A64">
        <v>2001</v>
      </c>
      <c r="B64" t="s">
        <v>30</v>
      </c>
      <c r="C64">
        <v>123.2</v>
      </c>
      <c r="D64">
        <v>0.93405000000000005</v>
      </c>
      <c r="E64">
        <v>0.30359999999999998</v>
      </c>
      <c r="F64">
        <v>5.2999999999999999E-2</v>
      </c>
      <c r="G64">
        <v>54.444848999999998</v>
      </c>
      <c r="H64">
        <v>3301</v>
      </c>
    </row>
    <row r="65" spans="1:8" x14ac:dyDescent="0.45">
      <c r="A65">
        <v>2001</v>
      </c>
      <c r="B65" t="s">
        <v>31</v>
      </c>
      <c r="C65">
        <v>558.70000000000005</v>
      </c>
      <c r="D65">
        <v>3.7067199999999998</v>
      </c>
      <c r="E65">
        <v>0.82850000000000001</v>
      </c>
      <c r="F65">
        <v>0.28799999999999998</v>
      </c>
      <c r="G65">
        <v>265.28498400000001</v>
      </c>
      <c r="H65">
        <v>11690</v>
      </c>
    </row>
    <row r="66" spans="1:8" x14ac:dyDescent="0.45">
      <c r="A66">
        <v>2001</v>
      </c>
      <c r="B66" t="s">
        <v>32</v>
      </c>
      <c r="C66">
        <v>6.6</v>
      </c>
      <c r="D66">
        <v>4.7160000000000001E-2</v>
      </c>
      <c r="E66">
        <v>1.086E-2</v>
      </c>
      <c r="F66">
        <v>3.0000000000000001E-3</v>
      </c>
      <c r="G66">
        <v>2.4181339999999998</v>
      </c>
      <c r="H66">
        <v>160</v>
      </c>
    </row>
    <row r="67" spans="1:8" x14ac:dyDescent="0.45">
      <c r="A67">
        <v>2001</v>
      </c>
      <c r="B67" t="s">
        <v>33</v>
      </c>
      <c r="C67">
        <v>361.8</v>
      </c>
      <c r="D67">
        <v>1.16944</v>
      </c>
      <c r="E67">
        <v>0.24718000000000001</v>
      </c>
      <c r="F67">
        <v>4.7E-2</v>
      </c>
      <c r="G67">
        <v>115.201145</v>
      </c>
      <c r="H67">
        <v>3394</v>
      </c>
    </row>
    <row r="68" spans="1:8" x14ac:dyDescent="0.45">
      <c r="A68">
        <v>2001</v>
      </c>
      <c r="B68" t="s">
        <v>34</v>
      </c>
      <c r="C68">
        <v>7.2</v>
      </c>
      <c r="D68">
        <v>0.49169000000000002</v>
      </c>
      <c r="E68">
        <v>0.36031000000000002</v>
      </c>
      <c r="F68">
        <v>0.13800000000000001</v>
      </c>
      <c r="G68">
        <v>4.0617159999999997</v>
      </c>
      <c r="H68">
        <v>822</v>
      </c>
    </row>
    <row r="69" spans="1:8" x14ac:dyDescent="0.45">
      <c r="A69">
        <v>2001</v>
      </c>
      <c r="B69" t="s">
        <v>35</v>
      </c>
      <c r="C69">
        <v>8.6</v>
      </c>
      <c r="D69">
        <v>3.0790000000000001E-2</v>
      </c>
      <c r="E69">
        <v>8.9999999999999998E-4</v>
      </c>
      <c r="F69" s="1">
        <v>2.0000000000000001E-4</v>
      </c>
      <c r="G69">
        <v>3.4358819999999999</v>
      </c>
      <c r="H69">
        <v>178</v>
      </c>
    </row>
    <row r="70" spans="1:8" x14ac:dyDescent="0.45">
      <c r="A70">
        <v>2001</v>
      </c>
      <c r="B70" t="s">
        <v>36</v>
      </c>
      <c r="C70">
        <v>59.3</v>
      </c>
      <c r="D70">
        <v>2.6124900000000002</v>
      </c>
      <c r="E70">
        <v>1.92591</v>
      </c>
      <c r="F70">
        <v>0.39600000000000002</v>
      </c>
      <c r="G70">
        <v>29.309697</v>
      </c>
      <c r="H70">
        <v>6155</v>
      </c>
    </row>
    <row r="71" spans="1:8" x14ac:dyDescent="0.45">
      <c r="A71">
        <v>2001</v>
      </c>
      <c r="B71" t="s">
        <v>37</v>
      </c>
      <c r="C71">
        <v>284.3</v>
      </c>
      <c r="D71">
        <v>15.6782</v>
      </c>
      <c r="E71">
        <v>9.7564100000000007</v>
      </c>
      <c r="F71">
        <v>2.452</v>
      </c>
      <c r="G71">
        <v>148.21347</v>
      </c>
      <c r="H71">
        <v>58744</v>
      </c>
    </row>
    <row r="72" spans="1:8" x14ac:dyDescent="0.45">
      <c r="A72">
        <v>2001</v>
      </c>
      <c r="B72" t="s">
        <v>38</v>
      </c>
      <c r="C72">
        <v>249.4</v>
      </c>
      <c r="D72">
        <v>0.76907000000000003</v>
      </c>
      <c r="E72">
        <v>6.5119999999999997E-2</v>
      </c>
      <c r="F72">
        <v>0.01</v>
      </c>
      <c r="G72">
        <v>105.91589999999999</v>
      </c>
      <c r="H72">
        <v>2350</v>
      </c>
    </row>
    <row r="73" spans="1:8" x14ac:dyDescent="0.45">
      <c r="A73">
        <v>2002</v>
      </c>
      <c r="B73" t="s">
        <v>8</v>
      </c>
      <c r="C73">
        <v>38</v>
      </c>
      <c r="D73">
        <v>0.70626999999999995</v>
      </c>
      <c r="E73">
        <v>0.25531999999999999</v>
      </c>
      <c r="F73">
        <v>2.7E-2</v>
      </c>
      <c r="G73">
        <v>16.524913999999999</v>
      </c>
      <c r="H73">
        <v>1694</v>
      </c>
    </row>
    <row r="74" spans="1:8" x14ac:dyDescent="0.45">
      <c r="A74">
        <v>2002</v>
      </c>
      <c r="B74" t="s">
        <v>9</v>
      </c>
      <c r="C74">
        <v>23.5</v>
      </c>
      <c r="D74">
        <v>1.0585500000000001</v>
      </c>
      <c r="E74">
        <v>0.75636000000000003</v>
      </c>
      <c r="F74">
        <v>0.216</v>
      </c>
      <c r="G74">
        <v>11.883975</v>
      </c>
      <c r="H74">
        <v>3309</v>
      </c>
    </row>
    <row r="75" spans="1:8" x14ac:dyDescent="0.45">
      <c r="A75">
        <v>2002</v>
      </c>
      <c r="B75" t="s">
        <v>10</v>
      </c>
      <c r="C75">
        <v>178.5</v>
      </c>
      <c r="D75">
        <v>2.5465100000000001</v>
      </c>
      <c r="E75">
        <v>0.99063999999999997</v>
      </c>
      <c r="F75">
        <v>0.20799999999999999</v>
      </c>
      <c r="G75">
        <v>85.201661000000001</v>
      </c>
      <c r="H75">
        <v>4944</v>
      </c>
    </row>
    <row r="76" spans="1:8" x14ac:dyDescent="0.45">
      <c r="A76">
        <v>2002</v>
      </c>
      <c r="B76" t="s">
        <v>11</v>
      </c>
      <c r="C76">
        <v>31.5</v>
      </c>
      <c r="D76">
        <v>1.5584</v>
      </c>
      <c r="E76">
        <v>0.88495999999999997</v>
      </c>
      <c r="F76">
        <v>0.251</v>
      </c>
      <c r="G76">
        <v>16.941931</v>
      </c>
      <c r="H76">
        <v>7142</v>
      </c>
    </row>
    <row r="77" spans="1:8" x14ac:dyDescent="0.45">
      <c r="A77">
        <v>2002</v>
      </c>
      <c r="B77" t="s">
        <v>12</v>
      </c>
      <c r="C77">
        <v>39.1</v>
      </c>
      <c r="D77">
        <v>0.23105000000000001</v>
      </c>
      <c r="E77">
        <v>0.10131999999999999</v>
      </c>
      <c r="F77">
        <v>1.6E-2</v>
      </c>
      <c r="G77">
        <v>13.709343000000001</v>
      </c>
      <c r="H77">
        <v>949</v>
      </c>
    </row>
    <row r="78" spans="1:8" x14ac:dyDescent="0.45">
      <c r="A78">
        <v>2002</v>
      </c>
      <c r="B78" t="s">
        <v>13</v>
      </c>
      <c r="C78">
        <v>37.799999999999997</v>
      </c>
      <c r="D78">
        <v>0.32</v>
      </c>
      <c r="E78">
        <v>0.11806</v>
      </c>
      <c r="F78">
        <v>2.5999999999999999E-2</v>
      </c>
      <c r="G78">
        <v>14.291031</v>
      </c>
      <c r="H78">
        <v>789</v>
      </c>
    </row>
    <row r="79" spans="1:8" x14ac:dyDescent="0.45">
      <c r="A79">
        <v>2002</v>
      </c>
      <c r="B79" t="s">
        <v>14</v>
      </c>
      <c r="C79">
        <v>75.5</v>
      </c>
      <c r="D79">
        <v>0.50895000000000001</v>
      </c>
      <c r="E79">
        <v>8.1809999999999994E-2</v>
      </c>
      <c r="F79">
        <v>1.7999999999999999E-2</v>
      </c>
      <c r="G79">
        <v>32.813782000000003</v>
      </c>
      <c r="H79">
        <v>3937</v>
      </c>
    </row>
    <row r="80" spans="1:8" x14ac:dyDescent="0.45">
      <c r="A80">
        <v>2002</v>
      </c>
      <c r="B80" t="s">
        <v>15</v>
      </c>
      <c r="C80">
        <v>15.9</v>
      </c>
      <c r="D80">
        <v>0.28925000000000001</v>
      </c>
      <c r="E80">
        <v>9.2499999999999999E-2</v>
      </c>
      <c r="F80">
        <v>2.4E-2</v>
      </c>
      <c r="G80">
        <v>6.4111029999999998</v>
      </c>
      <c r="H80">
        <v>766</v>
      </c>
    </row>
    <row r="81" spans="1:8" x14ac:dyDescent="0.45">
      <c r="A81">
        <v>2002</v>
      </c>
      <c r="B81" t="s">
        <v>16</v>
      </c>
      <c r="C81">
        <v>1316.7</v>
      </c>
      <c r="D81">
        <v>6.3732199999999999</v>
      </c>
      <c r="E81">
        <v>2.1377899999999999</v>
      </c>
      <c r="F81">
        <v>4.8000000000000001E-2</v>
      </c>
      <c r="G81">
        <v>729.626126</v>
      </c>
      <c r="H81">
        <v>29970</v>
      </c>
    </row>
    <row r="82" spans="1:8" x14ac:dyDescent="0.45">
      <c r="A82">
        <v>2002</v>
      </c>
      <c r="B82" t="s">
        <v>17</v>
      </c>
      <c r="C82">
        <v>274.39999999999998</v>
      </c>
      <c r="D82">
        <v>0.45923999999999998</v>
      </c>
      <c r="E82">
        <v>9.0490000000000001E-2</v>
      </c>
      <c r="F82">
        <v>1.4E-2</v>
      </c>
      <c r="G82">
        <v>112.94136399999999</v>
      </c>
      <c r="H82">
        <v>3693</v>
      </c>
    </row>
    <row r="83" spans="1:8" x14ac:dyDescent="0.45">
      <c r="A83">
        <v>2002</v>
      </c>
      <c r="B83" t="s">
        <v>18</v>
      </c>
      <c r="C83">
        <v>429.9</v>
      </c>
      <c r="D83">
        <v>17.8535</v>
      </c>
      <c r="E83">
        <v>8.8907699999999998</v>
      </c>
      <c r="F83">
        <v>2.444</v>
      </c>
      <c r="G83">
        <v>199.41213999999999</v>
      </c>
      <c r="H83">
        <v>40763</v>
      </c>
    </row>
    <row r="84" spans="1:8" x14ac:dyDescent="0.45">
      <c r="A84">
        <v>2002</v>
      </c>
      <c r="B84" t="s">
        <v>19</v>
      </c>
      <c r="C84">
        <v>1097.5999999999999</v>
      </c>
      <c r="D84">
        <v>3.5679699999999999</v>
      </c>
      <c r="E84">
        <v>0.66305000000000003</v>
      </c>
      <c r="F84">
        <v>0.20799999999999999</v>
      </c>
      <c r="G84">
        <v>427.82907399999999</v>
      </c>
      <c r="H84">
        <v>11688</v>
      </c>
    </row>
    <row r="85" spans="1:8" x14ac:dyDescent="0.45">
      <c r="A85">
        <v>2002</v>
      </c>
      <c r="B85" t="s">
        <v>20</v>
      </c>
      <c r="C85">
        <v>127.5</v>
      </c>
      <c r="D85">
        <v>4.9688100000000004</v>
      </c>
      <c r="E85">
        <v>3.0142799999999998</v>
      </c>
      <c r="F85">
        <v>1.127</v>
      </c>
      <c r="G85">
        <v>67.054918999999998</v>
      </c>
      <c r="H85">
        <v>12716</v>
      </c>
    </row>
    <row r="86" spans="1:8" x14ac:dyDescent="0.45">
      <c r="A86">
        <v>2002</v>
      </c>
      <c r="B86" t="s">
        <v>21</v>
      </c>
      <c r="C86">
        <v>104.3</v>
      </c>
      <c r="D86">
        <v>1.4261900000000001</v>
      </c>
      <c r="E86">
        <v>0.53361999999999998</v>
      </c>
      <c r="F86">
        <v>0.121</v>
      </c>
      <c r="G86">
        <v>34.731338999999998</v>
      </c>
      <c r="H86">
        <v>3433</v>
      </c>
    </row>
    <row r="87" spans="1:8" x14ac:dyDescent="0.45">
      <c r="A87">
        <v>2002</v>
      </c>
      <c r="B87" t="s">
        <v>22</v>
      </c>
      <c r="C87">
        <v>101.5</v>
      </c>
      <c r="D87">
        <v>2.0050599999999998</v>
      </c>
      <c r="E87">
        <v>0.77249999999999996</v>
      </c>
      <c r="F87">
        <v>0.182</v>
      </c>
      <c r="G87">
        <v>39.513494000000001</v>
      </c>
      <c r="H87">
        <v>3728</v>
      </c>
    </row>
    <row r="88" spans="1:8" x14ac:dyDescent="0.45">
      <c r="A88">
        <v>2002</v>
      </c>
      <c r="B88" t="s">
        <v>23</v>
      </c>
      <c r="C88">
        <v>105.6</v>
      </c>
      <c r="D88">
        <v>0.31394</v>
      </c>
      <c r="E88">
        <v>6.241E-2</v>
      </c>
      <c r="F88">
        <v>1.7999999999999999E-2</v>
      </c>
      <c r="G88">
        <v>42.381672999999999</v>
      </c>
      <c r="H88">
        <v>1296</v>
      </c>
    </row>
    <row r="89" spans="1:8" x14ac:dyDescent="0.45">
      <c r="A89">
        <v>2002</v>
      </c>
      <c r="B89" t="s">
        <v>24</v>
      </c>
      <c r="C89">
        <v>78</v>
      </c>
      <c r="D89">
        <v>1.2974600000000001</v>
      </c>
      <c r="E89">
        <v>0.30957000000000001</v>
      </c>
      <c r="F89">
        <v>9.1999999999999998E-2</v>
      </c>
      <c r="G89">
        <v>39.561379000000002</v>
      </c>
      <c r="H89">
        <v>5026</v>
      </c>
    </row>
    <row r="90" spans="1:8" x14ac:dyDescent="0.45">
      <c r="A90">
        <v>2002</v>
      </c>
      <c r="B90" t="s">
        <v>25</v>
      </c>
      <c r="C90">
        <v>182.2</v>
      </c>
      <c r="D90">
        <v>1.6466799999999999</v>
      </c>
      <c r="E90">
        <v>0.32889000000000002</v>
      </c>
      <c r="F90">
        <v>7.9000000000000001E-2</v>
      </c>
      <c r="G90">
        <v>53.661048999999998</v>
      </c>
      <c r="H90">
        <v>3307</v>
      </c>
    </row>
    <row r="91" spans="1:8" x14ac:dyDescent="0.45">
      <c r="A91">
        <v>2002</v>
      </c>
      <c r="B91" t="s">
        <v>26</v>
      </c>
      <c r="C91">
        <v>142.6</v>
      </c>
      <c r="D91">
        <v>2.6576499999999998</v>
      </c>
      <c r="E91">
        <v>0.62209999999999999</v>
      </c>
      <c r="F91">
        <v>0.16700000000000001</v>
      </c>
      <c r="G91">
        <v>42.580058999999999</v>
      </c>
      <c r="H91">
        <v>9617</v>
      </c>
    </row>
    <row r="92" spans="1:8" x14ac:dyDescent="0.45">
      <c r="A92">
        <v>2002</v>
      </c>
      <c r="B92" t="s">
        <v>27</v>
      </c>
      <c r="C92">
        <v>47.3</v>
      </c>
      <c r="D92">
        <v>1.3333200000000001</v>
      </c>
      <c r="E92">
        <v>0.63807000000000003</v>
      </c>
      <c r="F92">
        <v>0.29699999999999999</v>
      </c>
      <c r="G92">
        <v>23.347639999999998</v>
      </c>
      <c r="H92">
        <v>4579</v>
      </c>
    </row>
    <row r="93" spans="1:8" x14ac:dyDescent="0.45">
      <c r="A93">
        <v>2002</v>
      </c>
      <c r="B93" t="s">
        <v>28</v>
      </c>
      <c r="C93">
        <v>145.9</v>
      </c>
      <c r="D93">
        <v>3.2431899999999998</v>
      </c>
      <c r="E93">
        <v>0.53534000000000004</v>
      </c>
      <c r="F93">
        <v>0.13400000000000001</v>
      </c>
      <c r="G93">
        <v>73.134359000000003</v>
      </c>
      <c r="H93">
        <v>16137</v>
      </c>
    </row>
    <row r="94" spans="1:8" x14ac:dyDescent="0.45">
      <c r="A94">
        <v>2002</v>
      </c>
      <c r="B94" t="s">
        <v>29</v>
      </c>
      <c r="C94">
        <v>48</v>
      </c>
      <c r="D94">
        <v>0.56240000000000001</v>
      </c>
      <c r="E94">
        <v>0.18336</v>
      </c>
      <c r="F94">
        <v>3.1E-2</v>
      </c>
      <c r="G94">
        <v>19.543801999999999</v>
      </c>
      <c r="H94">
        <v>2041</v>
      </c>
    </row>
    <row r="95" spans="1:8" x14ac:dyDescent="0.45">
      <c r="A95">
        <v>2002</v>
      </c>
      <c r="B95" t="s">
        <v>30</v>
      </c>
      <c r="C95">
        <v>125.1</v>
      </c>
      <c r="D95">
        <v>0.95906000000000002</v>
      </c>
      <c r="E95">
        <v>0.30908000000000002</v>
      </c>
      <c r="F95">
        <v>5.6000000000000001E-2</v>
      </c>
      <c r="G95">
        <v>55.426749000000001</v>
      </c>
      <c r="H95">
        <v>3447</v>
      </c>
    </row>
    <row r="96" spans="1:8" x14ac:dyDescent="0.45">
      <c r="A96">
        <v>2002</v>
      </c>
      <c r="B96" t="s">
        <v>31</v>
      </c>
      <c r="C96">
        <v>566.29999999999995</v>
      </c>
      <c r="D96">
        <v>3.8969900000000002</v>
      </c>
      <c r="E96">
        <v>0.86963000000000001</v>
      </c>
      <c r="F96">
        <v>0.29799999999999999</v>
      </c>
      <c r="G96">
        <v>268.17616299999997</v>
      </c>
      <c r="H96">
        <v>11971</v>
      </c>
    </row>
    <row r="97" spans="1:8" x14ac:dyDescent="0.45">
      <c r="A97">
        <v>2002</v>
      </c>
      <c r="B97" t="s">
        <v>32</v>
      </c>
      <c r="C97">
        <v>6.7</v>
      </c>
      <c r="D97">
        <v>4.9509999999999998E-2</v>
      </c>
      <c r="E97">
        <v>1.124E-2</v>
      </c>
      <c r="F97">
        <v>3.0000000000000001E-3</v>
      </c>
      <c r="G97">
        <v>2.4583300000000001</v>
      </c>
      <c r="H97">
        <v>159</v>
      </c>
    </row>
    <row r="98" spans="1:8" x14ac:dyDescent="0.45">
      <c r="A98">
        <v>2002</v>
      </c>
      <c r="B98" t="s">
        <v>33</v>
      </c>
      <c r="C98">
        <v>369.6</v>
      </c>
      <c r="D98">
        <v>1.21282</v>
      </c>
      <c r="E98">
        <v>0.25123000000000001</v>
      </c>
      <c r="F98">
        <v>4.8000000000000001E-2</v>
      </c>
      <c r="G98">
        <v>118.10077</v>
      </c>
      <c r="H98">
        <v>3482</v>
      </c>
    </row>
    <row r="99" spans="1:8" x14ac:dyDescent="0.45">
      <c r="A99">
        <v>2002</v>
      </c>
      <c r="B99" t="s">
        <v>34</v>
      </c>
      <c r="C99">
        <v>7.3</v>
      </c>
      <c r="D99">
        <v>0.49132999999999999</v>
      </c>
      <c r="E99">
        <v>0.36260999999999999</v>
      </c>
      <c r="F99">
        <v>0.14000000000000001</v>
      </c>
      <c r="G99">
        <v>4.1060540000000003</v>
      </c>
      <c r="H99">
        <v>800</v>
      </c>
    </row>
    <row r="100" spans="1:8" x14ac:dyDescent="0.45">
      <c r="A100">
        <v>2002</v>
      </c>
      <c r="B100" t="s">
        <v>35</v>
      </c>
      <c r="C100">
        <v>8.8000000000000007</v>
      </c>
      <c r="D100">
        <v>3.1060000000000001E-2</v>
      </c>
      <c r="E100">
        <v>1.6199999999999999E-3</v>
      </c>
      <c r="F100" s="1">
        <v>2.0000000000000001E-4</v>
      </c>
      <c r="G100">
        <v>3.4652590000000001</v>
      </c>
      <c r="H100">
        <v>179</v>
      </c>
    </row>
    <row r="101" spans="1:8" x14ac:dyDescent="0.45">
      <c r="A101">
        <v>2002</v>
      </c>
      <c r="B101" t="s">
        <v>36</v>
      </c>
      <c r="C101">
        <v>59.5</v>
      </c>
      <c r="D101">
        <v>2.6594000000000002</v>
      </c>
      <c r="E101">
        <v>1.98258</v>
      </c>
      <c r="F101">
        <v>0.40400000000000003</v>
      </c>
      <c r="G101">
        <v>29.641396</v>
      </c>
      <c r="H101">
        <v>5975</v>
      </c>
    </row>
    <row r="102" spans="1:8" x14ac:dyDescent="0.45">
      <c r="A102">
        <v>2002</v>
      </c>
      <c r="B102" t="s">
        <v>37</v>
      </c>
      <c r="C102">
        <v>287.10000000000002</v>
      </c>
      <c r="D102">
        <v>15.944800000000001</v>
      </c>
      <c r="E102">
        <v>10.190099999999999</v>
      </c>
      <c r="F102">
        <v>2.42</v>
      </c>
      <c r="G102">
        <v>149.241895</v>
      </c>
      <c r="H102">
        <v>58806</v>
      </c>
    </row>
    <row r="103" spans="1:8" x14ac:dyDescent="0.45">
      <c r="A103">
        <v>2002</v>
      </c>
      <c r="B103" t="s">
        <v>38</v>
      </c>
      <c r="C103">
        <v>256.5</v>
      </c>
      <c r="D103">
        <v>0.84470999999999996</v>
      </c>
      <c r="E103">
        <v>6.633E-2</v>
      </c>
      <c r="F103">
        <v>1.0999999999999999E-2</v>
      </c>
      <c r="G103">
        <v>108.525119</v>
      </c>
      <c r="H103">
        <v>2411</v>
      </c>
    </row>
    <row r="104" spans="1:8" x14ac:dyDescent="0.45">
      <c r="A104">
        <v>2003</v>
      </c>
      <c r="B104" t="s">
        <v>8</v>
      </c>
      <c r="C104">
        <v>38.4</v>
      </c>
      <c r="D104">
        <v>0.76868000000000003</v>
      </c>
      <c r="E104">
        <v>0.27311999999999997</v>
      </c>
      <c r="F104">
        <v>3.7999999999999999E-2</v>
      </c>
      <c r="G104">
        <v>17.006208999999998</v>
      </c>
      <c r="H104">
        <v>1795</v>
      </c>
    </row>
    <row r="105" spans="1:8" x14ac:dyDescent="0.45">
      <c r="A105">
        <v>2003</v>
      </c>
      <c r="B105" t="s">
        <v>9</v>
      </c>
      <c r="C105">
        <v>23.8</v>
      </c>
      <c r="D105">
        <v>1.09372</v>
      </c>
      <c r="E105">
        <v>0.78766999999999998</v>
      </c>
      <c r="F105">
        <v>0.24299999999999999</v>
      </c>
      <c r="G105">
        <v>12.097223</v>
      </c>
      <c r="H105">
        <v>3312</v>
      </c>
    </row>
    <row r="106" spans="1:8" x14ac:dyDescent="0.45">
      <c r="A106">
        <v>2003</v>
      </c>
      <c r="B106" t="s">
        <v>10</v>
      </c>
      <c r="C106">
        <v>180.6</v>
      </c>
      <c r="D106">
        <v>2.5755699999999999</v>
      </c>
      <c r="E106">
        <v>0.99038000000000004</v>
      </c>
      <c r="F106">
        <v>0.2</v>
      </c>
      <c r="G106">
        <v>86.794128000000001</v>
      </c>
      <c r="H106">
        <v>4985</v>
      </c>
    </row>
    <row r="107" spans="1:8" x14ac:dyDescent="0.45">
      <c r="A107">
        <v>2003</v>
      </c>
      <c r="B107" t="s">
        <v>11</v>
      </c>
      <c r="C107">
        <v>31.8</v>
      </c>
      <c r="D107">
        <v>1.5865499999999999</v>
      </c>
      <c r="E107">
        <v>0.90956000000000004</v>
      </c>
      <c r="F107">
        <v>0.26400000000000001</v>
      </c>
      <c r="G107">
        <v>17.341661999999999</v>
      </c>
      <c r="H107">
        <v>7344</v>
      </c>
    </row>
    <row r="108" spans="1:8" x14ac:dyDescent="0.45">
      <c r="A108">
        <v>2003</v>
      </c>
      <c r="B108" t="s">
        <v>12</v>
      </c>
      <c r="C108">
        <v>39.4</v>
      </c>
      <c r="D108">
        <v>0.23657</v>
      </c>
      <c r="E108">
        <v>0.10495</v>
      </c>
      <c r="F108">
        <v>1.4999999999999999E-2</v>
      </c>
      <c r="G108">
        <v>13.883077</v>
      </c>
      <c r="H108">
        <v>939</v>
      </c>
    </row>
    <row r="109" spans="1:8" x14ac:dyDescent="0.45">
      <c r="A109">
        <v>2003</v>
      </c>
      <c r="B109" t="s">
        <v>13</v>
      </c>
      <c r="C109">
        <v>38.4</v>
      </c>
      <c r="D109">
        <v>0.33076</v>
      </c>
      <c r="E109">
        <v>0.12247</v>
      </c>
      <c r="F109">
        <v>2.7E-2</v>
      </c>
      <c r="G109">
        <v>14.707890000000001</v>
      </c>
      <c r="H109">
        <v>815</v>
      </c>
    </row>
    <row r="110" spans="1:8" x14ac:dyDescent="0.45">
      <c r="A110">
        <v>2003</v>
      </c>
      <c r="B110" t="s">
        <v>14</v>
      </c>
      <c r="C110">
        <v>76.2</v>
      </c>
      <c r="D110">
        <v>0.55137999999999998</v>
      </c>
      <c r="E110">
        <v>8.7260000000000004E-2</v>
      </c>
      <c r="F110">
        <v>1.9E-2</v>
      </c>
      <c r="G110">
        <v>33.297254000000002</v>
      </c>
      <c r="H110">
        <v>4100</v>
      </c>
    </row>
    <row r="111" spans="1:8" x14ac:dyDescent="0.45">
      <c r="A111">
        <v>2003</v>
      </c>
      <c r="B111" t="s">
        <v>15</v>
      </c>
      <c r="C111">
        <v>16</v>
      </c>
      <c r="D111">
        <v>0.30291000000000001</v>
      </c>
      <c r="E111">
        <v>9.5649999999999999E-2</v>
      </c>
      <c r="F111">
        <v>2.5999999999999999E-2</v>
      </c>
      <c r="G111">
        <v>6.5890500000000003</v>
      </c>
      <c r="H111">
        <v>766</v>
      </c>
    </row>
    <row r="112" spans="1:8" x14ac:dyDescent="0.45">
      <c r="A112">
        <v>2003</v>
      </c>
      <c r="B112" t="s">
        <v>16</v>
      </c>
      <c r="C112">
        <v>1324.5</v>
      </c>
      <c r="D112">
        <v>6.99932</v>
      </c>
      <c r="E112">
        <v>2.2589800000000002</v>
      </c>
      <c r="F112">
        <v>0.05</v>
      </c>
      <c r="G112">
        <v>739.35000500000001</v>
      </c>
      <c r="H112">
        <v>34988</v>
      </c>
    </row>
    <row r="113" spans="1:8" x14ac:dyDescent="0.45">
      <c r="A113">
        <v>2003</v>
      </c>
      <c r="B113" t="s">
        <v>17</v>
      </c>
      <c r="C113">
        <v>282.39999999999998</v>
      </c>
      <c r="D113">
        <v>0.46893000000000001</v>
      </c>
      <c r="E113">
        <v>9.4259999999999997E-2</v>
      </c>
      <c r="F113">
        <v>1.4999999999999999E-2</v>
      </c>
      <c r="G113">
        <v>116.493157</v>
      </c>
      <c r="H113">
        <v>3796</v>
      </c>
    </row>
    <row r="114" spans="1:8" x14ac:dyDescent="0.45">
      <c r="A114">
        <v>2003</v>
      </c>
      <c r="B114" t="s">
        <v>18</v>
      </c>
      <c r="C114">
        <v>431.5</v>
      </c>
      <c r="D114">
        <v>18.0517</v>
      </c>
      <c r="E114">
        <v>9.0323799999999999</v>
      </c>
      <c r="F114">
        <v>2.4750000000000001</v>
      </c>
      <c r="G114">
        <v>201.42015599999999</v>
      </c>
      <c r="H114">
        <v>42047</v>
      </c>
    </row>
    <row r="115" spans="1:8" x14ac:dyDescent="0.45">
      <c r="A115">
        <v>2003</v>
      </c>
      <c r="B115" t="s">
        <v>19</v>
      </c>
      <c r="C115">
        <v>1116.8</v>
      </c>
      <c r="D115">
        <v>3.84842</v>
      </c>
      <c r="E115">
        <v>0.69920000000000004</v>
      </c>
      <c r="F115">
        <v>0.218</v>
      </c>
      <c r="G115">
        <v>436.75365199999999</v>
      </c>
      <c r="H115">
        <v>11917</v>
      </c>
    </row>
    <row r="116" spans="1:8" x14ac:dyDescent="0.45">
      <c r="A116">
        <v>2003</v>
      </c>
      <c r="B116" t="s">
        <v>20</v>
      </c>
      <c r="C116">
        <v>127.7</v>
      </c>
      <c r="D116">
        <v>5.0450900000000001</v>
      </c>
      <c r="E116">
        <v>3.0424600000000002</v>
      </c>
      <c r="F116">
        <v>1.1200000000000001</v>
      </c>
      <c r="G116">
        <v>66.784334000000001</v>
      </c>
      <c r="H116">
        <v>12548</v>
      </c>
    </row>
    <row r="117" spans="1:8" x14ac:dyDescent="0.45">
      <c r="A117">
        <v>2003</v>
      </c>
      <c r="B117" t="s">
        <v>21</v>
      </c>
      <c r="C117">
        <v>105.9</v>
      </c>
      <c r="D117">
        <v>1.50003</v>
      </c>
      <c r="E117">
        <v>0.55957000000000001</v>
      </c>
      <c r="F117">
        <v>0.13400000000000001</v>
      </c>
      <c r="G117">
        <v>34.802309000000001</v>
      </c>
      <c r="H117">
        <v>3614</v>
      </c>
    </row>
    <row r="118" spans="1:8" x14ac:dyDescent="0.45">
      <c r="A118">
        <v>2003</v>
      </c>
      <c r="B118" t="s">
        <v>22</v>
      </c>
      <c r="C118">
        <v>103</v>
      </c>
      <c r="D118">
        <v>2.0288300000000001</v>
      </c>
      <c r="E118">
        <v>0.78657999999999995</v>
      </c>
      <c r="F118">
        <v>0.186</v>
      </c>
      <c r="G118">
        <v>40.580596</v>
      </c>
      <c r="H118">
        <v>3884</v>
      </c>
    </row>
    <row r="119" spans="1:8" x14ac:dyDescent="0.45">
      <c r="A119">
        <v>2003</v>
      </c>
      <c r="B119" t="s">
        <v>23</v>
      </c>
      <c r="C119">
        <v>108.9</v>
      </c>
      <c r="D119">
        <v>0.32844000000000001</v>
      </c>
      <c r="E119">
        <v>6.8180000000000004E-2</v>
      </c>
      <c r="F119">
        <v>0.02</v>
      </c>
      <c r="G119">
        <v>43.70326</v>
      </c>
      <c r="H119">
        <v>1370</v>
      </c>
    </row>
    <row r="120" spans="1:8" x14ac:dyDescent="0.45">
      <c r="A120">
        <v>2003</v>
      </c>
      <c r="B120" t="s">
        <v>24</v>
      </c>
      <c r="C120">
        <v>77.5</v>
      </c>
      <c r="D120">
        <v>1.37521</v>
      </c>
      <c r="E120">
        <v>0.32246999999999998</v>
      </c>
      <c r="F120">
        <v>9.8000000000000004E-2</v>
      </c>
      <c r="G120">
        <v>39.527614999999997</v>
      </c>
      <c r="H120">
        <v>5219</v>
      </c>
    </row>
    <row r="121" spans="1:8" x14ac:dyDescent="0.45">
      <c r="A121">
        <v>2003</v>
      </c>
      <c r="B121" t="s">
        <v>25</v>
      </c>
      <c r="C121">
        <v>185.5</v>
      </c>
      <c r="D121">
        <v>1.73159</v>
      </c>
      <c r="E121">
        <v>0.34036</v>
      </c>
      <c r="F121">
        <v>7.6999999999999999E-2</v>
      </c>
      <c r="G121">
        <v>55.402045000000001</v>
      </c>
      <c r="H121">
        <v>3416</v>
      </c>
    </row>
    <row r="122" spans="1:8" x14ac:dyDescent="0.45">
      <c r="A122">
        <v>2003</v>
      </c>
      <c r="B122" t="s">
        <v>26</v>
      </c>
      <c r="C122">
        <v>146</v>
      </c>
      <c r="D122">
        <v>2.7532999999999999</v>
      </c>
      <c r="E122">
        <v>0.64083000000000001</v>
      </c>
      <c r="F122">
        <v>0.183</v>
      </c>
      <c r="G122">
        <v>44.424804999999999</v>
      </c>
      <c r="H122">
        <v>9993</v>
      </c>
    </row>
    <row r="123" spans="1:8" x14ac:dyDescent="0.45">
      <c r="A123">
        <v>2003</v>
      </c>
      <c r="B123" t="s">
        <v>27</v>
      </c>
      <c r="C123">
        <v>47.5</v>
      </c>
      <c r="D123">
        <v>1.3752800000000001</v>
      </c>
      <c r="E123">
        <v>0.64166999999999996</v>
      </c>
      <c r="F123">
        <v>0.313</v>
      </c>
      <c r="G123">
        <v>23.376927999999999</v>
      </c>
      <c r="H123">
        <v>4669</v>
      </c>
    </row>
    <row r="124" spans="1:8" x14ac:dyDescent="0.45">
      <c r="A124">
        <v>2003</v>
      </c>
      <c r="B124" t="s">
        <v>28</v>
      </c>
      <c r="C124">
        <v>145.80000000000001</v>
      </c>
      <c r="D124">
        <v>3.4799500000000001</v>
      </c>
      <c r="E124">
        <v>0.56798999999999999</v>
      </c>
      <c r="F124">
        <v>0.153</v>
      </c>
      <c r="G124">
        <v>72.899185000000003</v>
      </c>
      <c r="H124">
        <v>16484</v>
      </c>
    </row>
    <row r="125" spans="1:8" x14ac:dyDescent="0.45">
      <c r="A125">
        <v>2003</v>
      </c>
      <c r="B125" t="s">
        <v>29</v>
      </c>
      <c r="C125">
        <v>48.5</v>
      </c>
      <c r="D125">
        <v>0.57898000000000005</v>
      </c>
      <c r="E125">
        <v>0.18976000000000001</v>
      </c>
      <c r="F125">
        <v>3.4000000000000002E-2</v>
      </c>
      <c r="G125">
        <v>19.883393999999999</v>
      </c>
      <c r="H125">
        <v>2150</v>
      </c>
    </row>
    <row r="126" spans="1:8" x14ac:dyDescent="0.45">
      <c r="A126">
        <v>2003</v>
      </c>
      <c r="B126" t="s">
        <v>30</v>
      </c>
      <c r="C126">
        <v>126.9</v>
      </c>
      <c r="D126">
        <v>0.99360999999999999</v>
      </c>
      <c r="E126">
        <v>0.31657000000000002</v>
      </c>
      <c r="F126">
        <v>5.8999999999999997E-2</v>
      </c>
      <c r="G126">
        <v>56.91778</v>
      </c>
      <c r="H126">
        <v>3403</v>
      </c>
    </row>
    <row r="127" spans="1:8" x14ac:dyDescent="0.45">
      <c r="A127">
        <v>2003</v>
      </c>
      <c r="B127" t="s">
        <v>31</v>
      </c>
      <c r="C127">
        <v>573.79999999999995</v>
      </c>
      <c r="D127">
        <v>4.1238700000000001</v>
      </c>
      <c r="E127">
        <v>0.91693000000000002</v>
      </c>
      <c r="F127">
        <v>0.31</v>
      </c>
      <c r="G127">
        <v>272.32170500000001</v>
      </c>
      <c r="H127">
        <v>12402</v>
      </c>
    </row>
    <row r="128" spans="1:8" x14ac:dyDescent="0.45">
      <c r="A128">
        <v>2003</v>
      </c>
      <c r="B128" t="s">
        <v>32</v>
      </c>
      <c r="C128">
        <v>6.7</v>
      </c>
      <c r="D128">
        <v>5.169E-2</v>
      </c>
      <c r="E128">
        <v>1.1730000000000001E-2</v>
      </c>
      <c r="F128">
        <v>3.0000000000000001E-3</v>
      </c>
      <c r="G128">
        <v>2.4946329999999999</v>
      </c>
      <c r="H128">
        <v>166</v>
      </c>
    </row>
    <row r="129" spans="1:8" x14ac:dyDescent="0.45">
      <c r="A129">
        <v>2003</v>
      </c>
      <c r="B129" t="s">
        <v>33</v>
      </c>
      <c r="C129">
        <v>377.4</v>
      </c>
      <c r="D129">
        <v>1.2772300000000001</v>
      </c>
      <c r="E129">
        <v>0.26079999999999998</v>
      </c>
      <c r="F129">
        <v>5.1999999999999998E-2</v>
      </c>
      <c r="G129">
        <v>121.120226</v>
      </c>
      <c r="H129">
        <v>3599</v>
      </c>
    </row>
    <row r="130" spans="1:8" x14ac:dyDescent="0.45">
      <c r="A130">
        <v>2003</v>
      </c>
      <c r="B130" t="s">
        <v>34</v>
      </c>
      <c r="C130">
        <v>7.3</v>
      </c>
      <c r="D130">
        <v>0.49117</v>
      </c>
      <c r="E130">
        <v>0.36503999999999998</v>
      </c>
      <c r="F130">
        <v>0.13900000000000001</v>
      </c>
      <c r="G130">
        <v>4.1526300000000003</v>
      </c>
      <c r="H130">
        <v>825</v>
      </c>
    </row>
    <row r="131" spans="1:8" x14ac:dyDescent="0.45">
      <c r="A131">
        <v>2003</v>
      </c>
      <c r="B131" t="s">
        <v>35</v>
      </c>
      <c r="C131">
        <v>9.1</v>
      </c>
      <c r="D131">
        <v>3.1660000000000001E-2</v>
      </c>
      <c r="E131">
        <v>1.5399999999999999E-3</v>
      </c>
      <c r="F131" s="1">
        <v>2.0000000000000001E-4</v>
      </c>
      <c r="G131">
        <v>3.49057</v>
      </c>
      <c r="H131">
        <v>187</v>
      </c>
    </row>
    <row r="132" spans="1:8" x14ac:dyDescent="0.45">
      <c r="A132">
        <v>2003</v>
      </c>
      <c r="B132" t="s">
        <v>36</v>
      </c>
      <c r="C132">
        <v>59.8</v>
      </c>
      <c r="D132">
        <v>2.7432400000000001</v>
      </c>
      <c r="E132">
        <v>2.0540799999999999</v>
      </c>
      <c r="F132">
        <v>0.41399999999999998</v>
      </c>
      <c r="G132">
        <v>29.861692999999999</v>
      </c>
      <c r="H132">
        <v>6028</v>
      </c>
    </row>
    <row r="133" spans="1:8" x14ac:dyDescent="0.45">
      <c r="A133">
        <v>2003</v>
      </c>
      <c r="B133" t="s">
        <v>37</v>
      </c>
      <c r="C133">
        <v>289.89999999999998</v>
      </c>
      <c r="D133">
        <v>16.390599999999999</v>
      </c>
      <c r="E133">
        <v>10.7479</v>
      </c>
      <c r="F133">
        <v>2.5459999999999998</v>
      </c>
      <c r="G133">
        <v>149.99232499999999</v>
      </c>
      <c r="H133">
        <v>59727</v>
      </c>
    </row>
    <row r="134" spans="1:8" x14ac:dyDescent="0.45">
      <c r="A134">
        <v>2003</v>
      </c>
      <c r="B134" t="s">
        <v>38</v>
      </c>
      <c r="C134">
        <v>263.7</v>
      </c>
      <c r="D134">
        <v>0.89010999999999996</v>
      </c>
      <c r="E134">
        <v>6.7180000000000004E-2</v>
      </c>
      <c r="F134">
        <v>1.0999999999999999E-2</v>
      </c>
      <c r="G134">
        <v>111.33595699999999</v>
      </c>
      <c r="H134">
        <v>2533</v>
      </c>
    </row>
    <row r="135" spans="1:8" x14ac:dyDescent="0.45">
      <c r="A135">
        <v>2004</v>
      </c>
      <c r="B135" t="s">
        <v>8</v>
      </c>
      <c r="C135">
        <v>38.799999999999997</v>
      </c>
      <c r="D135">
        <v>0.83809</v>
      </c>
      <c r="E135">
        <v>0.29592000000000002</v>
      </c>
      <c r="F135">
        <v>5.0999999999999997E-2</v>
      </c>
      <c r="G135">
        <v>17.502348999999999</v>
      </c>
      <c r="H135">
        <v>1947</v>
      </c>
    </row>
    <row r="136" spans="1:8" x14ac:dyDescent="0.45">
      <c r="A136">
        <v>2004</v>
      </c>
      <c r="B136" t="s">
        <v>9</v>
      </c>
      <c r="C136">
        <v>24.1</v>
      </c>
      <c r="D136">
        <v>1.13971</v>
      </c>
      <c r="E136">
        <v>0.82799</v>
      </c>
      <c r="F136">
        <v>0.26400000000000001</v>
      </c>
      <c r="G136">
        <v>12.266056000000001</v>
      </c>
      <c r="H136">
        <v>3378</v>
      </c>
    </row>
    <row r="137" spans="1:8" x14ac:dyDescent="0.45">
      <c r="A137">
        <v>2004</v>
      </c>
      <c r="B137" t="s">
        <v>10</v>
      </c>
      <c r="C137">
        <v>182.7</v>
      </c>
      <c r="D137">
        <v>2.7239200000000001</v>
      </c>
      <c r="E137">
        <v>1.0291300000000001</v>
      </c>
      <c r="F137">
        <v>0.217</v>
      </c>
      <c r="G137">
        <v>89.058034000000006</v>
      </c>
      <c r="H137">
        <v>5249</v>
      </c>
    </row>
    <row r="138" spans="1:8" x14ac:dyDescent="0.45">
      <c r="A138">
        <v>2004</v>
      </c>
      <c r="B138" t="s">
        <v>11</v>
      </c>
      <c r="C138">
        <v>32.1</v>
      </c>
      <c r="D138">
        <v>1.63561</v>
      </c>
      <c r="E138">
        <v>0.93454999999999999</v>
      </c>
      <c r="F138">
        <v>0.28599999999999998</v>
      </c>
      <c r="G138">
        <v>17.554856000000001</v>
      </c>
      <c r="H138">
        <v>7332</v>
      </c>
    </row>
    <row r="139" spans="1:8" x14ac:dyDescent="0.45">
      <c r="A139">
        <v>2004</v>
      </c>
      <c r="B139" t="s">
        <v>12</v>
      </c>
      <c r="C139">
        <v>39.700000000000003</v>
      </c>
      <c r="D139">
        <v>0.24318999999999999</v>
      </c>
      <c r="E139">
        <v>0.10755000000000001</v>
      </c>
      <c r="F139">
        <v>1.4999999999999999E-2</v>
      </c>
      <c r="G139">
        <v>14.143247000000001</v>
      </c>
      <c r="H139">
        <v>947</v>
      </c>
    </row>
    <row r="140" spans="1:8" x14ac:dyDescent="0.45">
      <c r="A140">
        <v>2004</v>
      </c>
      <c r="B140" t="s">
        <v>13</v>
      </c>
      <c r="C140">
        <v>39.1</v>
      </c>
      <c r="D140">
        <v>0.34494999999999998</v>
      </c>
      <c r="E140">
        <v>0.12584000000000001</v>
      </c>
      <c r="F140">
        <v>2.8000000000000001E-2</v>
      </c>
      <c r="G140">
        <v>14.987403</v>
      </c>
      <c r="H140">
        <v>875</v>
      </c>
    </row>
    <row r="141" spans="1:8" x14ac:dyDescent="0.45">
      <c r="A141">
        <v>2004</v>
      </c>
      <c r="B141" t="s">
        <v>14</v>
      </c>
      <c r="C141">
        <v>76.900000000000006</v>
      </c>
      <c r="D141">
        <v>0.59972000000000003</v>
      </c>
      <c r="E141">
        <v>9.6500000000000002E-2</v>
      </c>
      <c r="F141">
        <v>2.3E-2</v>
      </c>
      <c r="G141">
        <v>33.587560000000003</v>
      </c>
      <c r="H141">
        <v>4291</v>
      </c>
    </row>
    <row r="142" spans="1:8" x14ac:dyDescent="0.45">
      <c r="A142">
        <v>2004</v>
      </c>
      <c r="B142" t="s">
        <v>15</v>
      </c>
      <c r="C142">
        <v>16.2</v>
      </c>
      <c r="D142">
        <v>0.32312999999999997</v>
      </c>
      <c r="E142">
        <v>0.10335</v>
      </c>
      <c r="F142">
        <v>2.9000000000000001E-2</v>
      </c>
      <c r="G142">
        <v>6.7526339999999996</v>
      </c>
      <c r="H142">
        <v>799</v>
      </c>
    </row>
    <row r="143" spans="1:8" x14ac:dyDescent="0.45">
      <c r="A143">
        <v>2004</v>
      </c>
      <c r="B143" t="s">
        <v>16</v>
      </c>
      <c r="C143">
        <v>1332.2</v>
      </c>
      <c r="D143">
        <v>7.7094100000000001</v>
      </c>
      <c r="E143">
        <v>2.4265599999999998</v>
      </c>
      <c r="F143">
        <v>5.2999999999999999E-2</v>
      </c>
      <c r="G143">
        <v>748.66362100000003</v>
      </c>
      <c r="H143">
        <v>39145</v>
      </c>
    </row>
    <row r="144" spans="1:8" x14ac:dyDescent="0.45">
      <c r="A144">
        <v>2004</v>
      </c>
      <c r="B144" t="s">
        <v>17</v>
      </c>
      <c r="C144">
        <v>290.7</v>
      </c>
      <c r="D144">
        <v>0.49751000000000001</v>
      </c>
      <c r="E144">
        <v>9.8049999999999998E-2</v>
      </c>
      <c r="F144">
        <v>1.6E-2</v>
      </c>
      <c r="G144">
        <v>120.067162</v>
      </c>
      <c r="H144">
        <v>3859</v>
      </c>
    </row>
    <row r="145" spans="1:8" x14ac:dyDescent="0.45">
      <c r="A145">
        <v>2004</v>
      </c>
      <c r="B145" t="s">
        <v>18</v>
      </c>
      <c r="C145">
        <v>433.1</v>
      </c>
      <c r="D145">
        <v>18.554600000000001</v>
      </c>
      <c r="E145">
        <v>9.2025000000000006</v>
      </c>
      <c r="F145">
        <v>2.5459999999999998</v>
      </c>
      <c r="G145">
        <v>202.97741099999999</v>
      </c>
      <c r="H145">
        <v>42372</v>
      </c>
    </row>
    <row r="146" spans="1:8" x14ac:dyDescent="0.45">
      <c r="A146">
        <v>2004</v>
      </c>
      <c r="B146" t="s">
        <v>19</v>
      </c>
      <c r="C146">
        <v>1136</v>
      </c>
      <c r="D146">
        <v>4.1533300000000004</v>
      </c>
      <c r="E146">
        <v>0.73412999999999995</v>
      </c>
      <c r="F146">
        <v>0.24299999999999999</v>
      </c>
      <c r="G146">
        <v>445.82585399999999</v>
      </c>
      <c r="H146">
        <v>12214</v>
      </c>
    </row>
    <row r="147" spans="1:8" x14ac:dyDescent="0.45">
      <c r="A147">
        <v>2004</v>
      </c>
      <c r="B147" t="s">
        <v>20</v>
      </c>
      <c r="C147">
        <v>127.8</v>
      </c>
      <c r="D147">
        <v>5.1553800000000001</v>
      </c>
      <c r="E147">
        <v>3.0809299999999999</v>
      </c>
      <c r="F147">
        <v>1.123</v>
      </c>
      <c r="G147">
        <v>66.508241999999996</v>
      </c>
      <c r="H147">
        <v>12698</v>
      </c>
    </row>
    <row r="148" spans="1:8" x14ac:dyDescent="0.45">
      <c r="A148">
        <v>2004</v>
      </c>
      <c r="B148" t="s">
        <v>21</v>
      </c>
      <c r="C148">
        <v>107.5</v>
      </c>
      <c r="D148">
        <v>1.6309</v>
      </c>
      <c r="E148">
        <v>0.60194999999999999</v>
      </c>
      <c r="F148">
        <v>0.161</v>
      </c>
      <c r="G148">
        <v>34.488273999999997</v>
      </c>
      <c r="H148">
        <v>3725</v>
      </c>
    </row>
    <row r="149" spans="1:8" x14ac:dyDescent="0.45">
      <c r="A149">
        <v>2004</v>
      </c>
      <c r="B149" t="s">
        <v>22</v>
      </c>
      <c r="C149">
        <v>104.4</v>
      </c>
      <c r="D149">
        <v>2.1011600000000001</v>
      </c>
      <c r="E149">
        <v>0.80147999999999997</v>
      </c>
      <c r="F149">
        <v>0.19800000000000001</v>
      </c>
      <c r="G149">
        <v>41.810127000000001</v>
      </c>
      <c r="H149">
        <v>4075</v>
      </c>
    </row>
    <row r="150" spans="1:8" x14ac:dyDescent="0.45">
      <c r="A150">
        <v>2004</v>
      </c>
      <c r="B150" t="s">
        <v>23</v>
      </c>
      <c r="C150">
        <v>112.4</v>
      </c>
      <c r="D150">
        <v>0.36364000000000002</v>
      </c>
      <c r="E150">
        <v>7.1370000000000003E-2</v>
      </c>
      <c r="F150">
        <v>2.1999999999999999E-2</v>
      </c>
      <c r="G150">
        <v>45.115490999999999</v>
      </c>
      <c r="H150">
        <v>1450</v>
      </c>
    </row>
    <row r="151" spans="1:8" x14ac:dyDescent="0.45">
      <c r="A151">
        <v>2004</v>
      </c>
      <c r="B151" t="s">
        <v>24</v>
      </c>
      <c r="C151">
        <v>77.099999999999994</v>
      </c>
      <c r="D151">
        <v>1.4957800000000001</v>
      </c>
      <c r="E151">
        <v>0.34051999999999999</v>
      </c>
      <c r="F151">
        <v>0.111</v>
      </c>
      <c r="G151">
        <v>39.375539000000003</v>
      </c>
      <c r="H151">
        <v>5248</v>
      </c>
    </row>
    <row r="152" spans="1:8" x14ac:dyDescent="0.45">
      <c r="A152">
        <v>2004</v>
      </c>
      <c r="B152" t="s">
        <v>25</v>
      </c>
      <c r="C152">
        <v>188.8</v>
      </c>
      <c r="D152">
        <v>1.80898</v>
      </c>
      <c r="E152">
        <v>0.3543</v>
      </c>
      <c r="F152">
        <v>8.3000000000000004E-2</v>
      </c>
      <c r="G152">
        <v>57.178579999999997</v>
      </c>
      <c r="H152">
        <v>3494</v>
      </c>
    </row>
    <row r="153" spans="1:8" x14ac:dyDescent="0.45">
      <c r="A153">
        <v>2004</v>
      </c>
      <c r="B153" t="s">
        <v>26</v>
      </c>
      <c r="C153">
        <v>150.19999999999999</v>
      </c>
      <c r="D153">
        <v>3.0416099999999999</v>
      </c>
      <c r="E153">
        <v>0.69166000000000005</v>
      </c>
      <c r="F153">
        <v>0.20599999999999999</v>
      </c>
      <c r="G153">
        <v>46.621918999999998</v>
      </c>
      <c r="H153">
        <v>11018</v>
      </c>
    </row>
    <row r="154" spans="1:8" x14ac:dyDescent="0.45">
      <c r="A154">
        <v>2004</v>
      </c>
      <c r="B154" t="s">
        <v>27</v>
      </c>
      <c r="C154">
        <v>47.7</v>
      </c>
      <c r="D154">
        <v>1.44676</v>
      </c>
      <c r="E154">
        <v>0.64917999999999998</v>
      </c>
      <c r="F154">
        <v>0.32200000000000001</v>
      </c>
      <c r="G154">
        <v>23.859038000000002</v>
      </c>
      <c r="H154">
        <v>4715</v>
      </c>
    </row>
    <row r="155" spans="1:8" x14ac:dyDescent="0.45">
      <c r="A155">
        <v>2004</v>
      </c>
      <c r="B155" t="s">
        <v>28</v>
      </c>
      <c r="C155">
        <v>145.19999999999999</v>
      </c>
      <c r="D155">
        <v>3.7305000000000001</v>
      </c>
      <c r="E155">
        <v>0.62138000000000004</v>
      </c>
      <c r="F155">
        <v>0.17199999999999999</v>
      </c>
      <c r="G155">
        <v>73.699330000000003</v>
      </c>
      <c r="H155">
        <v>16541</v>
      </c>
    </row>
    <row r="156" spans="1:8" x14ac:dyDescent="0.45">
      <c r="A156">
        <v>2004</v>
      </c>
      <c r="B156" t="s">
        <v>29</v>
      </c>
      <c r="C156">
        <v>49</v>
      </c>
      <c r="D156">
        <v>0.60535000000000005</v>
      </c>
      <c r="E156">
        <v>0.20115</v>
      </c>
      <c r="F156">
        <v>3.7999999999999999E-2</v>
      </c>
      <c r="G156">
        <v>20.206354999999999</v>
      </c>
      <c r="H156">
        <v>2323</v>
      </c>
    </row>
    <row r="157" spans="1:8" x14ac:dyDescent="0.45">
      <c r="A157">
        <v>2004</v>
      </c>
      <c r="B157" t="s">
        <v>30</v>
      </c>
      <c r="C157">
        <v>128.69999999999999</v>
      </c>
      <c r="D157">
        <v>1.0462499999999999</v>
      </c>
      <c r="E157">
        <v>0.32712999999999998</v>
      </c>
      <c r="F157">
        <v>6.4000000000000001E-2</v>
      </c>
      <c r="G157">
        <v>58.619785999999998</v>
      </c>
      <c r="H157">
        <v>3512</v>
      </c>
    </row>
    <row r="158" spans="1:8" x14ac:dyDescent="0.45">
      <c r="A158">
        <v>2004</v>
      </c>
      <c r="B158" t="s">
        <v>31</v>
      </c>
      <c r="C158">
        <v>581.20000000000005</v>
      </c>
      <c r="D158">
        <v>4.3888800000000003</v>
      </c>
      <c r="E158">
        <v>0.97123999999999999</v>
      </c>
      <c r="F158">
        <v>0.34599999999999997</v>
      </c>
      <c r="G158">
        <v>277.464316</v>
      </c>
      <c r="H158">
        <v>13293</v>
      </c>
    </row>
    <row r="159" spans="1:8" x14ac:dyDescent="0.45">
      <c r="A159">
        <v>2004</v>
      </c>
      <c r="B159" t="s">
        <v>32</v>
      </c>
      <c r="C159">
        <v>6.8</v>
      </c>
      <c r="D159">
        <v>5.4620000000000002E-2</v>
      </c>
      <c r="E159">
        <v>1.2189999999999999E-2</v>
      </c>
      <c r="F159">
        <v>3.0000000000000001E-3</v>
      </c>
      <c r="G159">
        <v>2.528003</v>
      </c>
      <c r="H159">
        <v>170</v>
      </c>
    </row>
    <row r="160" spans="1:8" x14ac:dyDescent="0.45">
      <c r="A160">
        <v>2004</v>
      </c>
      <c r="B160" t="s">
        <v>33</v>
      </c>
      <c r="C160">
        <v>384.8</v>
      </c>
      <c r="D160">
        <v>1.3584099999999999</v>
      </c>
      <c r="E160">
        <v>0.28061000000000003</v>
      </c>
      <c r="F160">
        <v>5.7000000000000002E-2</v>
      </c>
      <c r="G160">
        <v>124.177994</v>
      </c>
      <c r="H160">
        <v>3767</v>
      </c>
    </row>
    <row r="161" spans="1:8" x14ac:dyDescent="0.45">
      <c r="A161">
        <v>2004</v>
      </c>
      <c r="B161" t="s">
        <v>34</v>
      </c>
      <c r="C161">
        <v>7.4</v>
      </c>
      <c r="D161">
        <v>0.50444</v>
      </c>
      <c r="E161">
        <v>0.37152000000000002</v>
      </c>
      <c r="F161">
        <v>0.14699999999999999</v>
      </c>
      <c r="G161">
        <v>4.1564199999999998</v>
      </c>
      <c r="H161">
        <v>831</v>
      </c>
    </row>
    <row r="162" spans="1:8" x14ac:dyDescent="0.45">
      <c r="A162">
        <v>2004</v>
      </c>
      <c r="B162" t="s">
        <v>35</v>
      </c>
      <c r="C162">
        <v>9.3000000000000007</v>
      </c>
      <c r="D162">
        <v>3.2730000000000002E-2</v>
      </c>
      <c r="E162">
        <v>1.8600000000000001E-3</v>
      </c>
      <c r="F162" s="1">
        <v>2.9999999999999997E-4</v>
      </c>
      <c r="G162">
        <v>3.509055</v>
      </c>
      <c r="H162">
        <v>194</v>
      </c>
    </row>
    <row r="163" spans="1:8" x14ac:dyDescent="0.45">
      <c r="A163">
        <v>2004</v>
      </c>
      <c r="B163" t="s">
        <v>36</v>
      </c>
      <c r="C163">
        <v>60.2</v>
      </c>
      <c r="D163">
        <v>2.8106599999999999</v>
      </c>
      <c r="E163">
        <v>2.1175799999999998</v>
      </c>
      <c r="F163">
        <v>0.42499999999999999</v>
      </c>
      <c r="G163">
        <v>30.084688</v>
      </c>
      <c r="H163">
        <v>6057</v>
      </c>
    </row>
    <row r="164" spans="1:8" x14ac:dyDescent="0.45">
      <c r="A164">
        <v>2004</v>
      </c>
      <c r="B164" t="s">
        <v>37</v>
      </c>
      <c r="C164">
        <v>292.8</v>
      </c>
      <c r="D164">
        <v>17.0213</v>
      </c>
      <c r="E164">
        <v>11.4239</v>
      </c>
      <c r="F164">
        <v>2.7789999999999999</v>
      </c>
      <c r="G164">
        <v>151.21812600000001</v>
      </c>
      <c r="H164">
        <v>60575</v>
      </c>
    </row>
    <row r="165" spans="1:8" x14ac:dyDescent="0.45">
      <c r="A165">
        <v>2004</v>
      </c>
      <c r="B165" t="s">
        <v>38</v>
      </c>
      <c r="C165">
        <v>271.10000000000002</v>
      </c>
      <c r="D165">
        <v>0.9536</v>
      </c>
      <c r="E165">
        <v>7.0199999999999999E-2</v>
      </c>
      <c r="F165">
        <v>1.2E-2</v>
      </c>
      <c r="G165">
        <v>114.1754</v>
      </c>
      <c r="H165">
        <v>2572</v>
      </c>
    </row>
    <row r="166" spans="1:8" x14ac:dyDescent="0.45">
      <c r="A166">
        <v>2005</v>
      </c>
      <c r="B166" t="s">
        <v>8</v>
      </c>
      <c r="C166">
        <v>39.200000000000003</v>
      </c>
      <c r="D166">
        <v>0.91227999999999998</v>
      </c>
      <c r="E166">
        <v>0.31886999999999999</v>
      </c>
      <c r="F166">
        <v>5.8999999999999997E-2</v>
      </c>
      <c r="G166">
        <v>17.624307000000002</v>
      </c>
      <c r="H166">
        <v>2042</v>
      </c>
    </row>
    <row r="167" spans="1:8" x14ac:dyDescent="0.45">
      <c r="A167">
        <v>2005</v>
      </c>
      <c r="B167" t="s">
        <v>9</v>
      </c>
      <c r="C167">
        <v>24.4</v>
      </c>
      <c r="D167">
        <v>1.17598</v>
      </c>
      <c r="E167">
        <v>0.86355000000000004</v>
      </c>
      <c r="F167">
        <v>0.28000000000000003</v>
      </c>
      <c r="G167">
        <v>12.623014</v>
      </c>
      <c r="H167">
        <v>3349</v>
      </c>
    </row>
    <row r="168" spans="1:8" x14ac:dyDescent="0.45">
      <c r="A168">
        <v>2005</v>
      </c>
      <c r="B168" t="s">
        <v>10</v>
      </c>
      <c r="C168">
        <v>184.7</v>
      </c>
      <c r="D168">
        <v>2.81114</v>
      </c>
      <c r="E168">
        <v>1.06881</v>
      </c>
      <c r="F168">
        <v>0.221</v>
      </c>
      <c r="G168">
        <v>91.599987999999996</v>
      </c>
      <c r="H168">
        <v>5326</v>
      </c>
    </row>
    <row r="169" spans="1:8" x14ac:dyDescent="0.45">
      <c r="A169">
        <v>2005</v>
      </c>
      <c r="B169" t="s">
        <v>11</v>
      </c>
      <c r="C169">
        <v>32.4</v>
      </c>
      <c r="D169">
        <v>1.6881200000000001</v>
      </c>
      <c r="E169">
        <v>0.96421000000000001</v>
      </c>
      <c r="F169">
        <v>0.312</v>
      </c>
      <c r="G169">
        <v>17.706025</v>
      </c>
      <c r="H169">
        <v>7240</v>
      </c>
    </row>
    <row r="170" spans="1:8" x14ac:dyDescent="0.45">
      <c r="A170">
        <v>2005</v>
      </c>
      <c r="B170" t="s">
        <v>12</v>
      </c>
      <c r="C170">
        <v>40.1</v>
      </c>
      <c r="D170">
        <v>0.2576</v>
      </c>
      <c r="E170">
        <v>0.11428000000000001</v>
      </c>
      <c r="F170">
        <v>1.7999999999999999E-2</v>
      </c>
      <c r="G170">
        <v>14.359468</v>
      </c>
      <c r="H170">
        <v>962</v>
      </c>
    </row>
    <row r="171" spans="1:8" x14ac:dyDescent="0.45">
      <c r="A171">
        <v>2005</v>
      </c>
      <c r="B171" t="s">
        <v>13</v>
      </c>
      <c r="C171">
        <v>39.799999999999997</v>
      </c>
      <c r="D171">
        <v>0.36022999999999999</v>
      </c>
      <c r="E171">
        <v>0.13247</v>
      </c>
      <c r="F171">
        <v>2.9000000000000001E-2</v>
      </c>
      <c r="G171">
        <v>15.410577</v>
      </c>
      <c r="H171">
        <v>907</v>
      </c>
    </row>
    <row r="172" spans="1:8" x14ac:dyDescent="0.45">
      <c r="A172">
        <v>2005</v>
      </c>
      <c r="B172" t="s">
        <v>14</v>
      </c>
      <c r="C172">
        <v>77.7</v>
      </c>
      <c r="D172">
        <v>0.66600000000000004</v>
      </c>
      <c r="E172">
        <v>0.10456</v>
      </c>
      <c r="F172">
        <v>2.8000000000000001E-2</v>
      </c>
      <c r="G172">
        <v>34.011831999999998</v>
      </c>
      <c r="H172">
        <v>4434</v>
      </c>
    </row>
    <row r="173" spans="1:8" x14ac:dyDescent="0.45">
      <c r="A173">
        <v>2005</v>
      </c>
      <c r="B173" t="s">
        <v>15</v>
      </c>
      <c r="C173">
        <v>16.3</v>
      </c>
      <c r="D173">
        <v>0.34199000000000002</v>
      </c>
      <c r="E173">
        <v>0.11086</v>
      </c>
      <c r="F173">
        <v>3.5999999999999997E-2</v>
      </c>
      <c r="G173">
        <v>6.9165749999999999</v>
      </c>
      <c r="H173">
        <v>815</v>
      </c>
    </row>
    <row r="174" spans="1:8" x14ac:dyDescent="0.45">
      <c r="A174">
        <v>2005</v>
      </c>
      <c r="B174" t="s">
        <v>16</v>
      </c>
      <c r="C174">
        <v>1340.3</v>
      </c>
      <c r="D174">
        <v>8.57911</v>
      </c>
      <c r="E174">
        <v>2.69252</v>
      </c>
      <c r="F174">
        <v>5.7000000000000002E-2</v>
      </c>
      <c r="G174">
        <v>758.245225</v>
      </c>
      <c r="H174">
        <v>43499</v>
      </c>
    </row>
    <row r="175" spans="1:8" x14ac:dyDescent="0.45">
      <c r="A175">
        <v>2005</v>
      </c>
      <c r="B175" t="s">
        <v>17</v>
      </c>
      <c r="C175">
        <v>299.10000000000002</v>
      </c>
      <c r="D175">
        <v>0.52732000000000001</v>
      </c>
      <c r="E175">
        <v>0.11224000000000001</v>
      </c>
      <c r="F175">
        <v>1.9E-2</v>
      </c>
      <c r="G175">
        <v>123.734128</v>
      </c>
      <c r="H175">
        <v>3977</v>
      </c>
    </row>
    <row r="176" spans="1:8" x14ac:dyDescent="0.45">
      <c r="A176">
        <v>2005</v>
      </c>
      <c r="B176" t="s">
        <v>18</v>
      </c>
      <c r="C176">
        <v>434.6</v>
      </c>
      <c r="D176">
        <v>18.95</v>
      </c>
      <c r="E176">
        <v>9.3926099999999995</v>
      </c>
      <c r="F176">
        <v>2.6259999999999999</v>
      </c>
      <c r="G176">
        <v>205.389535</v>
      </c>
      <c r="H176">
        <v>42621</v>
      </c>
    </row>
    <row r="177" spans="1:8" x14ac:dyDescent="0.45">
      <c r="A177">
        <v>2005</v>
      </c>
      <c r="B177" t="s">
        <v>19</v>
      </c>
      <c r="C177">
        <v>1154.7</v>
      </c>
      <c r="D177">
        <v>4.4824099999999998</v>
      </c>
      <c r="E177">
        <v>0.79032000000000002</v>
      </c>
      <c r="F177">
        <v>0.28299999999999997</v>
      </c>
      <c r="G177">
        <v>454.832471</v>
      </c>
      <c r="H177">
        <v>12767</v>
      </c>
    </row>
    <row r="178" spans="1:8" x14ac:dyDescent="0.45">
      <c r="A178">
        <v>2005</v>
      </c>
      <c r="B178" t="s">
        <v>20</v>
      </c>
      <c r="C178">
        <v>127.9</v>
      </c>
      <c r="D178">
        <v>5.24838</v>
      </c>
      <c r="E178">
        <v>3.1225299999999998</v>
      </c>
      <c r="F178">
        <v>1.157</v>
      </c>
      <c r="G178">
        <v>66.581356</v>
      </c>
      <c r="H178">
        <v>12823</v>
      </c>
    </row>
    <row r="179" spans="1:8" x14ac:dyDescent="0.45">
      <c r="A179">
        <v>2005</v>
      </c>
      <c r="B179" t="s">
        <v>21</v>
      </c>
      <c r="C179">
        <v>109.1</v>
      </c>
      <c r="D179">
        <v>1.7591000000000001</v>
      </c>
      <c r="E179">
        <v>0.63407000000000002</v>
      </c>
      <c r="F179">
        <v>0.185</v>
      </c>
      <c r="G179">
        <v>35.224457999999998</v>
      </c>
      <c r="H179">
        <v>3790</v>
      </c>
    </row>
    <row r="180" spans="1:8" x14ac:dyDescent="0.45">
      <c r="A180">
        <v>2005</v>
      </c>
      <c r="B180" t="s">
        <v>22</v>
      </c>
      <c r="C180">
        <v>105.8</v>
      </c>
      <c r="D180">
        <v>2.1455700000000002</v>
      </c>
      <c r="E180">
        <v>0.81896000000000002</v>
      </c>
      <c r="F180">
        <v>0.20799999999999999</v>
      </c>
      <c r="G180">
        <v>43.213355999999997</v>
      </c>
      <c r="H180">
        <v>4240</v>
      </c>
    </row>
    <row r="181" spans="1:8" x14ac:dyDescent="0.45">
      <c r="A181">
        <v>2005</v>
      </c>
      <c r="B181" t="s">
        <v>23</v>
      </c>
      <c r="C181">
        <v>116</v>
      </c>
      <c r="D181">
        <v>0.39944000000000002</v>
      </c>
      <c r="E181">
        <v>7.8469999999999998E-2</v>
      </c>
      <c r="F181">
        <v>2.7E-2</v>
      </c>
      <c r="G181">
        <v>46.588186999999998</v>
      </c>
      <c r="H181">
        <v>1476</v>
      </c>
    </row>
    <row r="182" spans="1:8" x14ac:dyDescent="0.45">
      <c r="A182">
        <v>2005</v>
      </c>
      <c r="B182" t="s">
        <v>24</v>
      </c>
      <c r="C182">
        <v>76.5</v>
      </c>
      <c r="D182">
        <v>1.5554399999999999</v>
      </c>
      <c r="E182">
        <v>0.36166999999999999</v>
      </c>
      <c r="F182">
        <v>0.123</v>
      </c>
      <c r="G182">
        <v>39.203479999999999</v>
      </c>
      <c r="H182">
        <v>5411</v>
      </c>
    </row>
    <row r="183" spans="1:8" x14ac:dyDescent="0.45">
      <c r="A183">
        <v>2005</v>
      </c>
      <c r="B183" t="s">
        <v>25</v>
      </c>
      <c r="C183">
        <v>192.3</v>
      </c>
      <c r="D183">
        <v>1.90032</v>
      </c>
      <c r="E183">
        <v>0.37008000000000002</v>
      </c>
      <c r="F183">
        <v>9.2999999999999999E-2</v>
      </c>
      <c r="G183">
        <v>58.981766999999998</v>
      </c>
      <c r="H183">
        <v>3836</v>
      </c>
    </row>
    <row r="184" spans="1:8" x14ac:dyDescent="0.45">
      <c r="A184">
        <v>2005</v>
      </c>
      <c r="B184" t="s">
        <v>26</v>
      </c>
      <c r="C184">
        <v>154.69999999999999</v>
      </c>
      <c r="D184">
        <v>3.1868799999999999</v>
      </c>
      <c r="E184">
        <v>0.73150000000000004</v>
      </c>
      <c r="F184">
        <v>0.22800000000000001</v>
      </c>
      <c r="G184">
        <v>48.983989999999999</v>
      </c>
      <c r="H184">
        <v>11738</v>
      </c>
    </row>
    <row r="185" spans="1:8" x14ac:dyDescent="0.45">
      <c r="A185">
        <v>2005</v>
      </c>
      <c r="B185" t="s">
        <v>27</v>
      </c>
      <c r="C185">
        <v>47.9</v>
      </c>
      <c r="D185">
        <v>1.5091000000000001</v>
      </c>
      <c r="E185">
        <v>0.68027000000000004</v>
      </c>
      <c r="F185">
        <v>0.32600000000000001</v>
      </c>
      <c r="G185">
        <v>23.953153</v>
      </c>
      <c r="H185">
        <v>4780</v>
      </c>
    </row>
    <row r="186" spans="1:8" x14ac:dyDescent="0.45">
      <c r="A186">
        <v>2005</v>
      </c>
      <c r="B186" t="s">
        <v>28</v>
      </c>
      <c r="C186">
        <v>144.6</v>
      </c>
      <c r="D186">
        <v>3.9692500000000002</v>
      </c>
      <c r="E186">
        <v>0.67793000000000003</v>
      </c>
      <c r="F186">
        <v>0.19</v>
      </c>
      <c r="G186">
        <v>74.144088999999994</v>
      </c>
      <c r="H186">
        <v>15946</v>
      </c>
    </row>
    <row r="187" spans="1:8" x14ac:dyDescent="0.45">
      <c r="A187">
        <v>2005</v>
      </c>
      <c r="B187" t="s">
        <v>29</v>
      </c>
      <c r="C187">
        <v>49.5</v>
      </c>
      <c r="D187">
        <v>0.63729999999999998</v>
      </c>
      <c r="E187">
        <v>0.21107999999999999</v>
      </c>
      <c r="F187">
        <v>4.2000000000000003E-2</v>
      </c>
      <c r="G187">
        <v>20.508526</v>
      </c>
      <c r="H187">
        <v>2363</v>
      </c>
    </row>
    <row r="188" spans="1:8" x14ac:dyDescent="0.45">
      <c r="A188">
        <v>2005</v>
      </c>
      <c r="B188" t="s">
        <v>30</v>
      </c>
      <c r="C188">
        <v>130.4</v>
      </c>
      <c r="D188">
        <v>1.1003499999999999</v>
      </c>
      <c r="E188">
        <v>0.34136</v>
      </c>
      <c r="F188">
        <v>7.0999999999999994E-2</v>
      </c>
      <c r="G188">
        <v>59.637208999999999</v>
      </c>
      <c r="H188">
        <v>3648</v>
      </c>
    </row>
    <row r="189" spans="1:8" x14ac:dyDescent="0.45">
      <c r="A189">
        <v>2005</v>
      </c>
      <c r="B189" t="s">
        <v>31</v>
      </c>
      <c r="C189">
        <v>588.5</v>
      </c>
      <c r="D189">
        <v>4.6417200000000003</v>
      </c>
      <c r="E189">
        <v>1.02095</v>
      </c>
      <c r="F189">
        <v>0.377</v>
      </c>
      <c r="G189">
        <v>280.61901999999998</v>
      </c>
      <c r="H189">
        <v>13349</v>
      </c>
    </row>
    <row r="190" spans="1:8" x14ac:dyDescent="0.45">
      <c r="A190">
        <v>2005</v>
      </c>
      <c r="B190" t="s">
        <v>32</v>
      </c>
      <c r="C190">
        <v>6.8</v>
      </c>
      <c r="D190">
        <v>5.6809999999999999E-2</v>
      </c>
      <c r="E190">
        <v>1.2500000000000001E-2</v>
      </c>
      <c r="F190">
        <v>3.0000000000000001E-3</v>
      </c>
      <c r="G190">
        <v>2.5598999999999998</v>
      </c>
      <c r="H190">
        <v>180</v>
      </c>
    </row>
    <row r="191" spans="1:8" x14ac:dyDescent="0.45">
      <c r="A191">
        <v>2005</v>
      </c>
      <c r="B191" t="s">
        <v>33</v>
      </c>
      <c r="C191">
        <v>392.1</v>
      </c>
      <c r="D191">
        <v>1.4508000000000001</v>
      </c>
      <c r="E191">
        <v>0.307</v>
      </c>
      <c r="F191">
        <v>6.2E-2</v>
      </c>
      <c r="G191">
        <v>126.759849</v>
      </c>
      <c r="H191">
        <v>3859</v>
      </c>
    </row>
    <row r="192" spans="1:8" x14ac:dyDescent="0.45">
      <c r="A192">
        <v>2005</v>
      </c>
      <c r="B192" t="s">
        <v>34</v>
      </c>
      <c r="C192">
        <v>7.4</v>
      </c>
      <c r="D192">
        <v>0.51831000000000005</v>
      </c>
      <c r="E192">
        <v>0.37626999999999999</v>
      </c>
      <c r="F192">
        <v>0.151</v>
      </c>
      <c r="G192">
        <v>4.1761679999999997</v>
      </c>
      <c r="H192">
        <v>843</v>
      </c>
    </row>
    <row r="193" spans="1:8" x14ac:dyDescent="0.45">
      <c r="A193">
        <v>2005</v>
      </c>
      <c r="B193" t="s">
        <v>35</v>
      </c>
      <c r="C193">
        <v>9.5</v>
      </c>
      <c r="D193">
        <v>3.4209999999999997E-2</v>
      </c>
      <c r="E193">
        <v>2.2599999999999999E-3</v>
      </c>
      <c r="F193" s="1">
        <v>4.0000000000000002E-4</v>
      </c>
      <c r="G193">
        <v>3.511212</v>
      </c>
      <c r="H193">
        <v>191</v>
      </c>
    </row>
    <row r="194" spans="1:8" x14ac:dyDescent="0.45">
      <c r="A194">
        <v>2005</v>
      </c>
      <c r="B194" t="s">
        <v>36</v>
      </c>
      <c r="C194">
        <v>60.6</v>
      </c>
      <c r="D194">
        <v>2.88747</v>
      </c>
      <c r="E194">
        <v>2.1746500000000002</v>
      </c>
      <c r="F194">
        <v>0.443</v>
      </c>
      <c r="G194">
        <v>30.460442</v>
      </c>
      <c r="H194">
        <v>6007</v>
      </c>
    </row>
    <row r="195" spans="1:8" x14ac:dyDescent="0.45">
      <c r="A195">
        <v>2005</v>
      </c>
      <c r="B195" t="s">
        <v>37</v>
      </c>
      <c r="C195">
        <v>295.7</v>
      </c>
      <c r="D195">
        <v>17.6142</v>
      </c>
      <c r="E195">
        <v>12.1572</v>
      </c>
      <c r="F195">
        <v>3.0739999999999998</v>
      </c>
      <c r="G195">
        <v>153.120588</v>
      </c>
      <c r="H195">
        <v>60656</v>
      </c>
    </row>
    <row r="196" spans="1:8" x14ac:dyDescent="0.45">
      <c r="A196">
        <v>2005</v>
      </c>
      <c r="B196" t="s">
        <v>38</v>
      </c>
      <c r="C196">
        <v>278.8</v>
      </c>
      <c r="D196">
        <v>1.0068900000000001</v>
      </c>
      <c r="E196">
        <v>7.2319999999999995E-2</v>
      </c>
      <c r="F196">
        <v>1.2999999999999999E-2</v>
      </c>
      <c r="G196">
        <v>117.111771</v>
      </c>
      <c r="H196">
        <v>2640</v>
      </c>
    </row>
    <row r="197" spans="1:8" x14ac:dyDescent="0.45">
      <c r="A197">
        <v>2006</v>
      </c>
      <c r="B197" t="s">
        <v>8</v>
      </c>
      <c r="C197">
        <v>39.6</v>
      </c>
      <c r="D197">
        <v>0.98568999999999996</v>
      </c>
      <c r="E197">
        <v>0.35033999999999998</v>
      </c>
      <c r="F197">
        <v>6.7000000000000004E-2</v>
      </c>
      <c r="G197">
        <v>17.955871999999999</v>
      </c>
      <c r="H197">
        <v>2139</v>
      </c>
    </row>
    <row r="198" spans="1:8" x14ac:dyDescent="0.45">
      <c r="A198">
        <v>2006</v>
      </c>
      <c r="B198" t="s">
        <v>9</v>
      </c>
      <c r="C198">
        <v>24.8</v>
      </c>
      <c r="D198">
        <v>1.20842</v>
      </c>
      <c r="E198">
        <v>0.89154999999999995</v>
      </c>
      <c r="F198">
        <v>0.3</v>
      </c>
      <c r="G198">
        <v>12.896076000000001</v>
      </c>
      <c r="H198">
        <v>3383</v>
      </c>
    </row>
    <row r="199" spans="1:8" x14ac:dyDescent="0.45">
      <c r="A199">
        <v>2006</v>
      </c>
      <c r="B199" t="s">
        <v>10</v>
      </c>
      <c r="C199">
        <v>186.7</v>
      </c>
      <c r="D199">
        <v>2.92252</v>
      </c>
      <c r="E199">
        <v>1.1209100000000001</v>
      </c>
      <c r="F199">
        <v>0.23599999999999999</v>
      </c>
      <c r="G199">
        <v>92.726865000000004</v>
      </c>
      <c r="H199">
        <v>5298</v>
      </c>
    </row>
    <row r="200" spans="1:8" x14ac:dyDescent="0.45">
      <c r="A200">
        <v>2006</v>
      </c>
      <c r="B200" t="s">
        <v>11</v>
      </c>
      <c r="C200">
        <v>32.799999999999997</v>
      </c>
      <c r="D200">
        <v>1.73265</v>
      </c>
      <c r="E200">
        <v>1.0010300000000001</v>
      </c>
      <c r="F200">
        <v>0.33200000000000002</v>
      </c>
      <c r="G200">
        <v>17.980502999999999</v>
      </c>
      <c r="H200">
        <v>7029</v>
      </c>
    </row>
    <row r="201" spans="1:8" x14ac:dyDescent="0.45">
      <c r="A201">
        <v>2006</v>
      </c>
      <c r="B201" t="s">
        <v>12</v>
      </c>
      <c r="C201">
        <v>40.4</v>
      </c>
      <c r="D201">
        <v>0.28067999999999999</v>
      </c>
      <c r="E201">
        <v>0.12598999999999999</v>
      </c>
      <c r="F201">
        <v>2.3E-2</v>
      </c>
      <c r="G201">
        <v>14.659611</v>
      </c>
      <c r="H201">
        <v>1016</v>
      </c>
    </row>
    <row r="202" spans="1:8" x14ac:dyDescent="0.45">
      <c r="A202">
        <v>2006</v>
      </c>
      <c r="B202" t="s">
        <v>13</v>
      </c>
      <c r="C202">
        <v>40.4</v>
      </c>
      <c r="D202">
        <v>0.38294</v>
      </c>
      <c r="E202">
        <v>0.13927999999999999</v>
      </c>
      <c r="F202">
        <v>3.3000000000000002E-2</v>
      </c>
      <c r="G202">
        <v>15.660518</v>
      </c>
      <c r="H202">
        <v>908</v>
      </c>
    </row>
    <row r="203" spans="1:8" x14ac:dyDescent="0.45">
      <c r="A203">
        <v>2006</v>
      </c>
      <c r="B203" t="s">
        <v>14</v>
      </c>
      <c r="C203">
        <v>78.599999999999994</v>
      </c>
      <c r="D203">
        <v>0.75151999999999997</v>
      </c>
      <c r="E203">
        <v>0.11551</v>
      </c>
      <c r="F203">
        <v>3.5000000000000003E-2</v>
      </c>
      <c r="G203">
        <v>34.366853999999996</v>
      </c>
      <c r="H203">
        <v>4515</v>
      </c>
    </row>
    <row r="204" spans="1:8" x14ac:dyDescent="0.45">
      <c r="A204">
        <v>2006</v>
      </c>
      <c r="B204" t="s">
        <v>15</v>
      </c>
      <c r="C204">
        <v>16.5</v>
      </c>
      <c r="D204">
        <v>0.36268</v>
      </c>
      <c r="E204">
        <v>0.11864</v>
      </c>
      <c r="F204">
        <v>3.7999999999999999E-2</v>
      </c>
      <c r="G204">
        <v>7.184183</v>
      </c>
      <c r="H204">
        <v>844</v>
      </c>
    </row>
    <row r="205" spans="1:8" x14ac:dyDescent="0.45">
      <c r="A205">
        <v>2006</v>
      </c>
      <c r="B205" t="s">
        <v>16</v>
      </c>
      <c r="C205">
        <v>1348.4</v>
      </c>
      <c r="D205">
        <v>9.6483500000000006</v>
      </c>
      <c r="E205">
        <v>2.9479099999999998</v>
      </c>
      <c r="F205">
        <v>6.3E-2</v>
      </c>
      <c r="G205">
        <v>765.80002000000002</v>
      </c>
      <c r="H205">
        <v>47024</v>
      </c>
    </row>
    <row r="206" spans="1:8" x14ac:dyDescent="0.45">
      <c r="A206">
        <v>2006</v>
      </c>
      <c r="B206" t="s">
        <v>17</v>
      </c>
      <c r="C206">
        <v>307.8</v>
      </c>
      <c r="D206">
        <v>0.56405000000000005</v>
      </c>
      <c r="E206">
        <v>0.12016</v>
      </c>
      <c r="F206">
        <v>2.3E-2</v>
      </c>
      <c r="G206">
        <v>127.415758</v>
      </c>
      <c r="H206">
        <v>4095</v>
      </c>
    </row>
    <row r="207" spans="1:8" x14ac:dyDescent="0.45">
      <c r="A207">
        <v>2006</v>
      </c>
      <c r="B207" t="s">
        <v>18</v>
      </c>
      <c r="C207">
        <v>435.7</v>
      </c>
      <c r="D207">
        <v>19.656500000000001</v>
      </c>
      <c r="E207">
        <v>9.6103100000000001</v>
      </c>
      <c r="F207">
        <v>2.79</v>
      </c>
      <c r="G207">
        <v>207.209879</v>
      </c>
      <c r="H207">
        <v>42760</v>
      </c>
    </row>
    <row r="208" spans="1:8" x14ac:dyDescent="0.45">
      <c r="A208">
        <v>2006</v>
      </c>
      <c r="B208" t="s">
        <v>19</v>
      </c>
      <c r="C208">
        <v>1172.9000000000001</v>
      </c>
      <c r="D208">
        <v>4.8437299999999999</v>
      </c>
      <c r="E208">
        <v>0.82830999999999999</v>
      </c>
      <c r="F208">
        <v>0.32200000000000001</v>
      </c>
      <c r="G208">
        <v>457.61146000000002</v>
      </c>
      <c r="H208">
        <v>13843</v>
      </c>
    </row>
    <row r="209" spans="1:8" x14ac:dyDescent="0.45">
      <c r="A209">
        <v>2006</v>
      </c>
      <c r="B209" t="s">
        <v>20</v>
      </c>
      <c r="C209">
        <v>128</v>
      </c>
      <c r="D209">
        <v>5.3204099999999999</v>
      </c>
      <c r="E209">
        <v>3.1461399999999999</v>
      </c>
      <c r="F209">
        <v>1.161</v>
      </c>
      <c r="G209">
        <v>66.694002999999995</v>
      </c>
      <c r="H209">
        <v>12734</v>
      </c>
    </row>
    <row r="210" spans="1:8" x14ac:dyDescent="0.45">
      <c r="A210">
        <v>2006</v>
      </c>
      <c r="B210" t="s">
        <v>21</v>
      </c>
      <c r="C210">
        <v>111.4</v>
      </c>
      <c r="D210">
        <v>1.87114</v>
      </c>
      <c r="E210">
        <v>0.65693000000000001</v>
      </c>
      <c r="F210">
        <v>0.20899999999999999</v>
      </c>
      <c r="G210">
        <v>35.958019999999998</v>
      </c>
      <c r="H210">
        <v>4062</v>
      </c>
    </row>
    <row r="211" spans="1:8" x14ac:dyDescent="0.45">
      <c r="A211">
        <v>2006</v>
      </c>
      <c r="B211" t="s">
        <v>22</v>
      </c>
      <c r="C211">
        <v>107.3</v>
      </c>
      <c r="D211">
        <v>2.2486600000000001</v>
      </c>
      <c r="E211">
        <v>0.85360999999999998</v>
      </c>
      <c r="F211">
        <v>0.22800000000000001</v>
      </c>
      <c r="G211">
        <v>44.671073</v>
      </c>
      <c r="H211">
        <v>4451</v>
      </c>
    </row>
    <row r="212" spans="1:8" x14ac:dyDescent="0.45">
      <c r="A212">
        <v>2006</v>
      </c>
      <c r="B212" t="s">
        <v>23</v>
      </c>
      <c r="C212">
        <v>119.8</v>
      </c>
      <c r="D212">
        <v>0.42646000000000001</v>
      </c>
      <c r="E212">
        <v>8.9399999999999993E-2</v>
      </c>
      <c r="F212">
        <v>0.03</v>
      </c>
      <c r="G212">
        <v>47.777051999999998</v>
      </c>
      <c r="H212">
        <v>1522</v>
      </c>
    </row>
    <row r="213" spans="1:8" x14ac:dyDescent="0.45">
      <c r="A213">
        <v>2006</v>
      </c>
      <c r="B213" t="s">
        <v>24</v>
      </c>
      <c r="C213">
        <v>76.099999999999994</v>
      </c>
      <c r="D213">
        <v>1.65019</v>
      </c>
      <c r="E213">
        <v>0.38840000000000002</v>
      </c>
      <c r="F213">
        <v>0.14000000000000001</v>
      </c>
      <c r="G213">
        <v>39.148049999999998</v>
      </c>
      <c r="H213">
        <v>5590</v>
      </c>
    </row>
    <row r="214" spans="1:8" x14ac:dyDescent="0.45">
      <c r="A214">
        <v>2006</v>
      </c>
      <c r="B214" t="s">
        <v>25</v>
      </c>
      <c r="C214">
        <v>195.8</v>
      </c>
      <c r="D214">
        <v>2.0115599999999998</v>
      </c>
      <c r="E214">
        <v>0.39143</v>
      </c>
      <c r="F214">
        <v>0.10199999999999999</v>
      </c>
      <c r="G214">
        <v>60.855128000000001</v>
      </c>
      <c r="H214">
        <v>4000</v>
      </c>
    </row>
    <row r="215" spans="1:8" x14ac:dyDescent="0.45">
      <c r="A215">
        <v>2006</v>
      </c>
      <c r="B215" t="s">
        <v>26</v>
      </c>
      <c r="C215">
        <v>158.9</v>
      </c>
      <c r="D215">
        <v>3.3729</v>
      </c>
      <c r="E215">
        <v>0.80096000000000001</v>
      </c>
      <c r="F215">
        <v>0.24299999999999999</v>
      </c>
      <c r="G215">
        <v>50.619764000000004</v>
      </c>
      <c r="H215">
        <v>12391</v>
      </c>
    </row>
    <row r="216" spans="1:8" x14ac:dyDescent="0.45">
      <c r="A216">
        <v>2006</v>
      </c>
      <c r="B216" t="s">
        <v>27</v>
      </c>
      <c r="C216">
        <v>48</v>
      </c>
      <c r="D216">
        <v>1.5885400000000001</v>
      </c>
      <c r="E216">
        <v>0.71738999999999997</v>
      </c>
      <c r="F216">
        <v>0.33900000000000002</v>
      </c>
      <c r="G216">
        <v>24.205393999999998</v>
      </c>
      <c r="H216">
        <v>4759</v>
      </c>
    </row>
    <row r="217" spans="1:8" x14ac:dyDescent="0.45">
      <c r="A217">
        <v>2006</v>
      </c>
      <c r="B217" t="s">
        <v>28</v>
      </c>
      <c r="C217">
        <v>144.1</v>
      </c>
      <c r="D217">
        <v>4.2947300000000004</v>
      </c>
      <c r="E217">
        <v>0.74233000000000005</v>
      </c>
      <c r="F217">
        <v>0.224</v>
      </c>
      <c r="G217">
        <v>74.509208000000001</v>
      </c>
      <c r="H217">
        <v>16458</v>
      </c>
    </row>
    <row r="218" spans="1:8" x14ac:dyDescent="0.45">
      <c r="A218">
        <v>2006</v>
      </c>
      <c r="B218" t="s">
        <v>29</v>
      </c>
      <c r="C218">
        <v>50</v>
      </c>
      <c r="D218">
        <v>0.67301</v>
      </c>
      <c r="E218">
        <v>0.22719</v>
      </c>
      <c r="F218">
        <v>4.7E-2</v>
      </c>
      <c r="G218">
        <v>20.797349000000001</v>
      </c>
      <c r="H218">
        <v>2395</v>
      </c>
    </row>
    <row r="219" spans="1:8" x14ac:dyDescent="0.45">
      <c r="A219">
        <v>2006</v>
      </c>
      <c r="B219" t="s">
        <v>30</v>
      </c>
      <c r="C219">
        <v>132.1</v>
      </c>
      <c r="D219">
        <v>1.16873</v>
      </c>
      <c r="E219">
        <v>0.36092000000000002</v>
      </c>
      <c r="F219">
        <v>8.2000000000000003E-2</v>
      </c>
      <c r="G219">
        <v>61.349806000000001</v>
      </c>
      <c r="H219">
        <v>3639</v>
      </c>
    </row>
    <row r="220" spans="1:8" x14ac:dyDescent="0.45">
      <c r="A220">
        <v>2006</v>
      </c>
      <c r="B220" t="s">
        <v>31</v>
      </c>
      <c r="C220">
        <v>596.29999999999995</v>
      </c>
      <c r="D220">
        <v>4.9211499999999999</v>
      </c>
      <c r="E220">
        <v>1.0678099999999999</v>
      </c>
      <c r="F220">
        <v>0.39500000000000002</v>
      </c>
      <c r="G220">
        <v>285.366242</v>
      </c>
      <c r="H220">
        <v>13732</v>
      </c>
    </row>
    <row r="221" spans="1:8" x14ac:dyDescent="0.45">
      <c r="A221">
        <v>2006</v>
      </c>
      <c r="B221" t="s">
        <v>32</v>
      </c>
      <c r="C221">
        <v>6.9</v>
      </c>
      <c r="D221">
        <v>6.096E-2</v>
      </c>
      <c r="E221">
        <v>1.3690000000000001E-2</v>
      </c>
      <c r="F221">
        <v>3.0000000000000001E-3</v>
      </c>
      <c r="G221">
        <v>2.5966900000000002</v>
      </c>
      <c r="H221">
        <v>181</v>
      </c>
    </row>
    <row r="222" spans="1:8" x14ac:dyDescent="0.45">
      <c r="A222">
        <v>2006</v>
      </c>
      <c r="B222" t="s">
        <v>33</v>
      </c>
      <c r="C222">
        <v>399.4</v>
      </c>
      <c r="D222">
        <v>1.5425199999999999</v>
      </c>
      <c r="E222">
        <v>0.32314999999999999</v>
      </c>
      <c r="F222">
        <v>7.0999999999999994E-2</v>
      </c>
      <c r="G222">
        <v>129.33166600000001</v>
      </c>
      <c r="H222">
        <v>4004</v>
      </c>
    </row>
    <row r="223" spans="1:8" x14ac:dyDescent="0.45">
      <c r="A223">
        <v>2006</v>
      </c>
      <c r="B223" t="s">
        <v>34</v>
      </c>
      <c r="C223">
        <v>7.5</v>
      </c>
      <c r="D223">
        <v>0.53942999999999997</v>
      </c>
      <c r="E223">
        <v>0.38128000000000001</v>
      </c>
      <c r="F223">
        <v>0.158</v>
      </c>
      <c r="G223">
        <v>4.2377890000000003</v>
      </c>
      <c r="H223">
        <v>836</v>
      </c>
    </row>
    <row r="224" spans="1:8" x14ac:dyDescent="0.45">
      <c r="A224">
        <v>2006</v>
      </c>
      <c r="B224" t="s">
        <v>35</v>
      </c>
      <c r="C224">
        <v>9.8000000000000007</v>
      </c>
      <c r="D224">
        <v>3.5610000000000003E-2</v>
      </c>
      <c r="E224">
        <v>2.5400000000000002E-3</v>
      </c>
      <c r="F224" s="1">
        <v>5.0000000000000001E-4</v>
      </c>
      <c r="G224">
        <v>3.5233840000000001</v>
      </c>
      <c r="H224">
        <v>193</v>
      </c>
    </row>
    <row r="225" spans="1:8" x14ac:dyDescent="0.45">
      <c r="A225">
        <v>2006</v>
      </c>
      <c r="B225" t="s">
        <v>36</v>
      </c>
      <c r="C225">
        <v>61.1</v>
      </c>
      <c r="D225">
        <v>2.95621</v>
      </c>
      <c r="E225">
        <v>2.1976800000000001</v>
      </c>
      <c r="F225">
        <v>0.45500000000000002</v>
      </c>
      <c r="G225">
        <v>30.956292999999999</v>
      </c>
      <c r="H225">
        <v>5905</v>
      </c>
    </row>
    <row r="226" spans="1:8" x14ac:dyDescent="0.45">
      <c r="A226">
        <v>2006</v>
      </c>
      <c r="B226" t="s">
        <v>37</v>
      </c>
      <c r="C226">
        <v>298.7</v>
      </c>
      <c r="D226">
        <v>18.104700000000001</v>
      </c>
      <c r="E226">
        <v>12.858499999999999</v>
      </c>
      <c r="F226">
        <v>3.2719999999999998</v>
      </c>
      <c r="G226">
        <v>155.26704599999999</v>
      </c>
      <c r="H226">
        <v>60654</v>
      </c>
    </row>
    <row r="227" spans="1:8" x14ac:dyDescent="0.45">
      <c r="A227">
        <v>2006</v>
      </c>
      <c r="B227" t="s">
        <v>38</v>
      </c>
      <c r="C227">
        <v>286.7</v>
      </c>
      <c r="D227">
        <v>1.06389</v>
      </c>
      <c r="E227">
        <v>0.10152</v>
      </c>
      <c r="F227">
        <v>2.9000000000000001E-2</v>
      </c>
      <c r="G227">
        <v>120.102318</v>
      </c>
      <c r="H227">
        <v>2625</v>
      </c>
    </row>
    <row r="228" spans="1:8" x14ac:dyDescent="0.45">
      <c r="A228">
        <v>2007</v>
      </c>
      <c r="B228" t="s">
        <v>8</v>
      </c>
      <c r="C228">
        <v>40</v>
      </c>
      <c r="D228">
        <v>1.0744800000000001</v>
      </c>
      <c r="E228">
        <v>0.38230999999999998</v>
      </c>
      <c r="F228">
        <v>8.1000000000000003E-2</v>
      </c>
      <c r="G228">
        <v>18.001086999999998</v>
      </c>
      <c r="H228">
        <v>2175</v>
      </c>
    </row>
    <row r="229" spans="1:8" x14ac:dyDescent="0.45">
      <c r="A229">
        <v>2007</v>
      </c>
      <c r="B229" t="s">
        <v>9</v>
      </c>
      <c r="C229">
        <v>25.2</v>
      </c>
      <c r="D229">
        <v>1.25278</v>
      </c>
      <c r="E229">
        <v>0.93301999999999996</v>
      </c>
      <c r="F229">
        <v>0.315</v>
      </c>
      <c r="G229">
        <v>13.21785</v>
      </c>
      <c r="H229">
        <v>3482</v>
      </c>
    </row>
    <row r="230" spans="1:8" x14ac:dyDescent="0.45">
      <c r="A230">
        <v>2007</v>
      </c>
      <c r="B230" t="s">
        <v>10</v>
      </c>
      <c r="C230">
        <v>188.6</v>
      </c>
      <c r="D230">
        <v>3.0999099999999999</v>
      </c>
      <c r="E230">
        <v>1.1861900000000001</v>
      </c>
      <c r="F230">
        <v>0.26400000000000001</v>
      </c>
      <c r="G230">
        <v>93.712198999999998</v>
      </c>
      <c r="H230">
        <v>5646</v>
      </c>
    </row>
    <row r="231" spans="1:8" x14ac:dyDescent="0.45">
      <c r="A231">
        <v>2007</v>
      </c>
      <c r="B231" t="s">
        <v>11</v>
      </c>
      <c r="C231">
        <v>33.1</v>
      </c>
      <c r="D231">
        <v>1.76817</v>
      </c>
      <c r="E231">
        <v>1.0398400000000001</v>
      </c>
      <c r="F231">
        <v>0.34200000000000003</v>
      </c>
      <c r="G231">
        <v>18.289463000000001</v>
      </c>
      <c r="H231">
        <v>7309</v>
      </c>
    </row>
    <row r="232" spans="1:8" x14ac:dyDescent="0.45">
      <c r="A232">
        <v>2007</v>
      </c>
      <c r="B232" t="s">
        <v>12</v>
      </c>
      <c r="C232">
        <v>40.700000000000003</v>
      </c>
      <c r="D232">
        <v>0.29581000000000002</v>
      </c>
      <c r="E232">
        <v>0.14618</v>
      </c>
      <c r="F232">
        <v>2.8000000000000001E-2</v>
      </c>
      <c r="G232">
        <v>14.891271</v>
      </c>
      <c r="H232">
        <v>1032</v>
      </c>
    </row>
    <row r="233" spans="1:8" x14ac:dyDescent="0.45">
      <c r="A233">
        <v>2007</v>
      </c>
      <c r="B233" t="s">
        <v>13</v>
      </c>
      <c r="C233">
        <v>41.1</v>
      </c>
      <c r="D233">
        <v>0.40994000000000003</v>
      </c>
      <c r="E233">
        <v>0.14671000000000001</v>
      </c>
      <c r="F233">
        <v>3.7999999999999999E-2</v>
      </c>
      <c r="G233">
        <v>16.037917</v>
      </c>
      <c r="H233">
        <v>941</v>
      </c>
    </row>
    <row r="234" spans="1:8" x14ac:dyDescent="0.45">
      <c r="A234">
        <v>2007</v>
      </c>
      <c r="B234" t="s">
        <v>14</v>
      </c>
      <c r="C234">
        <v>79.5</v>
      </c>
      <c r="D234">
        <v>0.84140000000000004</v>
      </c>
      <c r="E234">
        <v>0.12683</v>
      </c>
      <c r="F234">
        <v>4.2000000000000003E-2</v>
      </c>
      <c r="G234">
        <v>34.681348</v>
      </c>
      <c r="H234">
        <v>4930</v>
      </c>
    </row>
    <row r="235" spans="1:8" x14ac:dyDescent="0.45">
      <c r="A235">
        <v>2007</v>
      </c>
      <c r="B235" t="s">
        <v>15</v>
      </c>
      <c r="C235">
        <v>16.7</v>
      </c>
      <c r="D235">
        <v>0.38142999999999999</v>
      </c>
      <c r="E235">
        <v>0.12637999999999999</v>
      </c>
      <c r="F235">
        <v>4.2000000000000003E-2</v>
      </c>
      <c r="G235">
        <v>7.3693169999999997</v>
      </c>
      <c r="H235">
        <v>887</v>
      </c>
    </row>
    <row r="236" spans="1:8" x14ac:dyDescent="0.45">
      <c r="A236">
        <v>2007</v>
      </c>
      <c r="B236" t="s">
        <v>16</v>
      </c>
      <c r="C236">
        <v>1356.3</v>
      </c>
      <c r="D236">
        <v>10.9869</v>
      </c>
      <c r="E236">
        <v>3.3027000000000002</v>
      </c>
      <c r="F236">
        <v>6.7000000000000004E-2</v>
      </c>
      <c r="G236">
        <v>770.416696</v>
      </c>
      <c r="H236">
        <v>51531</v>
      </c>
    </row>
    <row r="237" spans="1:8" x14ac:dyDescent="0.45">
      <c r="A237">
        <v>2007</v>
      </c>
      <c r="B237" t="s">
        <v>17</v>
      </c>
      <c r="C237">
        <v>316.8</v>
      </c>
      <c r="D237">
        <v>0.60423000000000004</v>
      </c>
      <c r="E237">
        <v>0.12542</v>
      </c>
      <c r="F237">
        <v>2.5000000000000001E-2</v>
      </c>
      <c r="G237">
        <v>131.122086</v>
      </c>
      <c r="H237">
        <v>4063</v>
      </c>
    </row>
    <row r="238" spans="1:8" x14ac:dyDescent="0.45">
      <c r="A238">
        <v>2007</v>
      </c>
      <c r="B238" t="s">
        <v>18</v>
      </c>
      <c r="C238">
        <v>437</v>
      </c>
      <c r="D238">
        <v>20.308299999999999</v>
      </c>
      <c r="E238">
        <v>9.8205799999999996</v>
      </c>
      <c r="F238">
        <v>2.9590000000000001</v>
      </c>
      <c r="G238">
        <v>208.58668499999999</v>
      </c>
      <c r="H238">
        <v>42054</v>
      </c>
    </row>
    <row r="239" spans="1:8" x14ac:dyDescent="0.45">
      <c r="A239">
        <v>2007</v>
      </c>
      <c r="B239" t="s">
        <v>19</v>
      </c>
      <c r="C239">
        <v>1190.7</v>
      </c>
      <c r="D239">
        <v>5.2148000000000003</v>
      </c>
      <c r="E239">
        <v>0.89120999999999995</v>
      </c>
      <c r="F239">
        <v>0.375</v>
      </c>
      <c r="G239">
        <v>460.22557499999999</v>
      </c>
      <c r="H239">
        <v>15094</v>
      </c>
    </row>
    <row r="240" spans="1:8" x14ac:dyDescent="0.45">
      <c r="A240">
        <v>2007</v>
      </c>
      <c r="B240" t="s">
        <v>20</v>
      </c>
      <c r="C240">
        <v>128.1</v>
      </c>
      <c r="D240">
        <v>5.3993599999999997</v>
      </c>
      <c r="E240">
        <v>3.1754899999999999</v>
      </c>
      <c r="F240">
        <v>1.1359999999999999</v>
      </c>
      <c r="G240">
        <v>66.797224999999997</v>
      </c>
      <c r="H240">
        <v>12658</v>
      </c>
    </row>
    <row r="241" spans="1:8" x14ac:dyDescent="0.45">
      <c r="A241">
        <v>2007</v>
      </c>
      <c r="B241" t="s">
        <v>21</v>
      </c>
      <c r="C241">
        <v>114</v>
      </c>
      <c r="D241">
        <v>1.9742</v>
      </c>
      <c r="E241">
        <v>0.69813999999999998</v>
      </c>
      <c r="F241">
        <v>0.222</v>
      </c>
      <c r="G241">
        <v>36.740107000000002</v>
      </c>
      <c r="H241">
        <v>4368</v>
      </c>
    </row>
    <row r="242" spans="1:8" x14ac:dyDescent="0.45">
      <c r="A242">
        <v>2007</v>
      </c>
      <c r="B242" t="s">
        <v>22</v>
      </c>
      <c r="C242">
        <v>108.8</v>
      </c>
      <c r="D242">
        <v>2.2953899999999998</v>
      </c>
      <c r="E242">
        <v>0.86468</v>
      </c>
      <c r="F242">
        <v>0.24399999999999999</v>
      </c>
      <c r="G242">
        <v>45.655254999999997</v>
      </c>
      <c r="H242">
        <v>4542</v>
      </c>
    </row>
    <row r="243" spans="1:8" x14ac:dyDescent="0.45">
      <c r="A243">
        <v>2007</v>
      </c>
      <c r="B243" t="s">
        <v>23</v>
      </c>
      <c r="C243">
        <v>123.6</v>
      </c>
      <c r="D243">
        <v>0.46293000000000001</v>
      </c>
      <c r="E243">
        <v>9.5850000000000005E-2</v>
      </c>
      <c r="F243">
        <v>3.5999999999999997E-2</v>
      </c>
      <c r="G243">
        <v>48.951417999999997</v>
      </c>
      <c r="H243">
        <v>1529</v>
      </c>
    </row>
    <row r="244" spans="1:8" x14ac:dyDescent="0.45">
      <c r="A244">
        <v>2007</v>
      </c>
      <c r="B244" t="s">
        <v>24</v>
      </c>
      <c r="C244">
        <v>75.7</v>
      </c>
      <c r="D244">
        <v>1.76112</v>
      </c>
      <c r="E244">
        <v>0.41598000000000002</v>
      </c>
      <c r="F244">
        <v>0.16200000000000001</v>
      </c>
      <c r="G244">
        <v>39.351557999999997</v>
      </c>
      <c r="H244">
        <v>5608</v>
      </c>
    </row>
    <row r="245" spans="1:8" x14ac:dyDescent="0.45">
      <c r="A245">
        <v>2007</v>
      </c>
      <c r="B245" t="s">
        <v>25</v>
      </c>
      <c r="C245">
        <v>199.3</v>
      </c>
      <c r="D245">
        <v>2.12425</v>
      </c>
      <c r="E245">
        <v>0.41231000000000001</v>
      </c>
      <c r="F245">
        <v>0.11799999999999999</v>
      </c>
      <c r="G245">
        <v>62.716909999999999</v>
      </c>
      <c r="H245">
        <v>4307</v>
      </c>
    </row>
    <row r="246" spans="1:8" x14ac:dyDescent="0.45">
      <c r="A246">
        <v>2007</v>
      </c>
      <c r="B246" t="s">
        <v>26</v>
      </c>
      <c r="C246">
        <v>162.6</v>
      </c>
      <c r="D246">
        <v>3.5404200000000001</v>
      </c>
      <c r="E246">
        <v>0.95396999999999998</v>
      </c>
      <c r="F246">
        <v>0.29399999999999998</v>
      </c>
      <c r="G246">
        <v>52.213566999999998</v>
      </c>
      <c r="H246">
        <v>13139</v>
      </c>
    </row>
    <row r="247" spans="1:8" x14ac:dyDescent="0.45">
      <c r="A247">
        <v>2007</v>
      </c>
      <c r="B247" t="s">
        <v>27</v>
      </c>
      <c r="C247">
        <v>48.2</v>
      </c>
      <c r="D247">
        <v>1.6806700000000001</v>
      </c>
      <c r="E247">
        <v>0.7571</v>
      </c>
      <c r="F247">
        <v>0.35699999999999998</v>
      </c>
      <c r="G247">
        <v>24.444659999999999</v>
      </c>
      <c r="H247">
        <v>4906</v>
      </c>
    </row>
    <row r="248" spans="1:8" x14ac:dyDescent="0.45">
      <c r="A248">
        <v>2007</v>
      </c>
      <c r="B248" t="s">
        <v>28</v>
      </c>
      <c r="C248">
        <v>143.9</v>
      </c>
      <c r="D248">
        <v>4.6597799999999996</v>
      </c>
      <c r="E248">
        <v>0.82547000000000004</v>
      </c>
      <c r="F248">
        <v>0.27100000000000002</v>
      </c>
      <c r="G248">
        <v>75.443781999999999</v>
      </c>
      <c r="H248">
        <v>16465</v>
      </c>
    </row>
    <row r="249" spans="1:8" x14ac:dyDescent="0.45">
      <c r="A249">
        <v>2007</v>
      </c>
      <c r="B249" t="s">
        <v>29</v>
      </c>
      <c r="C249">
        <v>50.5</v>
      </c>
      <c r="D249">
        <v>0.70909</v>
      </c>
      <c r="E249">
        <v>0.24184</v>
      </c>
      <c r="F249">
        <v>5.3999999999999999E-2</v>
      </c>
      <c r="G249">
        <v>21.085706999999999</v>
      </c>
      <c r="H249">
        <v>2587</v>
      </c>
    </row>
    <row r="250" spans="1:8" x14ac:dyDescent="0.45">
      <c r="A250">
        <v>2007</v>
      </c>
      <c r="B250" t="s">
        <v>30</v>
      </c>
      <c r="C250">
        <v>133.80000000000001</v>
      </c>
      <c r="D250">
        <v>1.2423999999999999</v>
      </c>
      <c r="E250">
        <v>0.38339000000000001</v>
      </c>
      <c r="F250">
        <v>9.6000000000000002E-2</v>
      </c>
      <c r="G250">
        <v>62.645031000000003</v>
      </c>
      <c r="H250">
        <v>3668</v>
      </c>
    </row>
    <row r="251" spans="1:8" x14ac:dyDescent="0.45">
      <c r="A251">
        <v>2007</v>
      </c>
      <c r="B251" t="s">
        <v>31</v>
      </c>
      <c r="C251">
        <v>604.5</v>
      </c>
      <c r="D251">
        <v>5.2445300000000001</v>
      </c>
      <c r="E251">
        <v>1.1277999999999999</v>
      </c>
      <c r="F251">
        <v>0.436</v>
      </c>
      <c r="G251">
        <v>294.59314799999999</v>
      </c>
      <c r="H251">
        <v>13703</v>
      </c>
    </row>
    <row r="252" spans="1:8" x14ac:dyDescent="0.45">
      <c r="A252">
        <v>2007</v>
      </c>
      <c r="B252" t="s">
        <v>32</v>
      </c>
      <c r="C252">
        <v>7</v>
      </c>
      <c r="D252">
        <v>6.4219999999999999E-2</v>
      </c>
      <c r="E252">
        <v>1.4959999999999999E-2</v>
      </c>
      <c r="F252">
        <v>4.0000000000000001E-3</v>
      </c>
      <c r="G252">
        <v>2.6497709999999999</v>
      </c>
      <c r="H252">
        <v>188</v>
      </c>
    </row>
    <row r="253" spans="1:8" x14ac:dyDescent="0.45">
      <c r="A253">
        <v>2007</v>
      </c>
      <c r="B253" t="s">
        <v>33</v>
      </c>
      <c r="C253">
        <v>406.7</v>
      </c>
      <c r="D253">
        <v>1.63252</v>
      </c>
      <c r="E253">
        <v>0.33877000000000002</v>
      </c>
      <c r="F253">
        <v>7.3999999999999996E-2</v>
      </c>
      <c r="G253">
        <v>132.50019700000001</v>
      </c>
      <c r="H253">
        <v>4194</v>
      </c>
    </row>
    <row r="254" spans="1:8" x14ac:dyDescent="0.45">
      <c r="A254">
        <v>2007</v>
      </c>
      <c r="B254" t="s">
        <v>34</v>
      </c>
      <c r="C254">
        <v>7.5</v>
      </c>
      <c r="D254">
        <v>0.56054999999999999</v>
      </c>
      <c r="E254">
        <v>0.3891</v>
      </c>
      <c r="F254">
        <v>0.16600000000000001</v>
      </c>
      <c r="G254">
        <v>4.3074260000000004</v>
      </c>
      <c r="H254">
        <v>810</v>
      </c>
    </row>
    <row r="255" spans="1:8" x14ac:dyDescent="0.45">
      <c r="A255">
        <v>2007</v>
      </c>
      <c r="B255" t="s">
        <v>35</v>
      </c>
      <c r="C255">
        <v>10</v>
      </c>
      <c r="D255">
        <v>3.7280000000000001E-2</v>
      </c>
      <c r="E255">
        <v>2.6199999999999999E-3</v>
      </c>
      <c r="F255" s="1">
        <v>5.0000000000000001E-4</v>
      </c>
      <c r="G255">
        <v>3.517007</v>
      </c>
      <c r="H255">
        <v>197</v>
      </c>
    </row>
    <row r="256" spans="1:8" x14ac:dyDescent="0.45">
      <c r="A256">
        <v>2007</v>
      </c>
      <c r="B256" t="s">
        <v>36</v>
      </c>
      <c r="C256">
        <v>61.5</v>
      </c>
      <c r="D256">
        <v>3.0338099999999999</v>
      </c>
      <c r="E256">
        <v>2.2585099999999998</v>
      </c>
      <c r="F256">
        <v>0.47499999999999998</v>
      </c>
      <c r="G256">
        <v>31.168545000000002</v>
      </c>
      <c r="H256">
        <v>5812</v>
      </c>
    </row>
    <row r="257" spans="1:8" x14ac:dyDescent="0.45">
      <c r="A257">
        <v>2007</v>
      </c>
      <c r="B257" t="s">
        <v>37</v>
      </c>
      <c r="C257">
        <v>301.8</v>
      </c>
      <c r="D257">
        <v>18.467500000000001</v>
      </c>
      <c r="E257">
        <v>13.532500000000001</v>
      </c>
      <c r="F257">
        <v>3.3210000000000002</v>
      </c>
      <c r="G257">
        <v>156.588966</v>
      </c>
      <c r="H257">
        <v>61799</v>
      </c>
    </row>
    <row r="258" spans="1:8" x14ac:dyDescent="0.45">
      <c r="A258">
        <v>2007</v>
      </c>
      <c r="B258" t="s">
        <v>38</v>
      </c>
      <c r="C258">
        <v>294.8</v>
      </c>
      <c r="D258">
        <v>1.1210199999999999</v>
      </c>
      <c r="E258">
        <v>0.10792</v>
      </c>
      <c r="F258">
        <v>3.3000000000000002E-2</v>
      </c>
      <c r="G258">
        <v>123.111527</v>
      </c>
      <c r="H258">
        <v>2678</v>
      </c>
    </row>
    <row r="259" spans="1:8" x14ac:dyDescent="0.45">
      <c r="A259">
        <v>2008</v>
      </c>
      <c r="B259" t="s">
        <v>8</v>
      </c>
      <c r="C259">
        <v>40.4</v>
      </c>
      <c r="D259">
        <v>1.1180699999999999</v>
      </c>
      <c r="E259">
        <v>0.40881000000000001</v>
      </c>
      <c r="F259">
        <v>8.7999999999999995E-2</v>
      </c>
      <c r="G259">
        <v>18.041663</v>
      </c>
      <c r="H259">
        <v>2283</v>
      </c>
    </row>
    <row r="260" spans="1:8" x14ac:dyDescent="0.45">
      <c r="A260">
        <v>2008</v>
      </c>
      <c r="B260" t="s">
        <v>9</v>
      </c>
      <c r="C260">
        <v>25.6</v>
      </c>
      <c r="D260">
        <v>1.2894699999999999</v>
      </c>
      <c r="E260">
        <v>0.96958</v>
      </c>
      <c r="F260">
        <v>0.33700000000000002</v>
      </c>
      <c r="G260">
        <v>13.527925</v>
      </c>
      <c r="H260">
        <v>3529</v>
      </c>
    </row>
    <row r="261" spans="1:8" x14ac:dyDescent="0.45">
      <c r="A261">
        <v>2008</v>
      </c>
      <c r="B261" t="s">
        <v>10</v>
      </c>
      <c r="C261">
        <v>190.4</v>
      </c>
      <c r="D261">
        <v>3.2578299999999998</v>
      </c>
      <c r="E261">
        <v>1.25027</v>
      </c>
      <c r="F261">
        <v>0.29699999999999999</v>
      </c>
      <c r="G261">
        <v>95.054970999999995</v>
      </c>
      <c r="H261">
        <v>5935</v>
      </c>
    </row>
    <row r="262" spans="1:8" x14ac:dyDescent="0.45">
      <c r="A262">
        <v>2008</v>
      </c>
      <c r="B262" t="s">
        <v>11</v>
      </c>
      <c r="C262">
        <v>33.4</v>
      </c>
      <c r="D262">
        <v>1.7857700000000001</v>
      </c>
      <c r="E262">
        <v>1.07311</v>
      </c>
      <c r="F262">
        <v>0.34799999999999998</v>
      </c>
      <c r="G262">
        <v>18.579575999999999</v>
      </c>
      <c r="H262">
        <v>7226</v>
      </c>
    </row>
    <row r="263" spans="1:8" x14ac:dyDescent="0.45">
      <c r="A263">
        <v>2008</v>
      </c>
      <c r="B263" t="s">
        <v>12</v>
      </c>
      <c r="C263">
        <v>41</v>
      </c>
      <c r="D263">
        <v>0.30268</v>
      </c>
      <c r="E263">
        <v>0.14840999999999999</v>
      </c>
      <c r="F263">
        <v>2.9000000000000001E-2</v>
      </c>
      <c r="G263">
        <v>15.144609000000001</v>
      </c>
      <c r="H263">
        <v>1060</v>
      </c>
    </row>
    <row r="264" spans="1:8" x14ac:dyDescent="0.45">
      <c r="A264">
        <v>2008</v>
      </c>
      <c r="B264" t="s">
        <v>13</v>
      </c>
      <c r="C264">
        <v>41.8</v>
      </c>
      <c r="D264">
        <v>0.42903000000000002</v>
      </c>
      <c r="E264">
        <v>0.153</v>
      </c>
      <c r="F264">
        <v>4.1000000000000002E-2</v>
      </c>
      <c r="G264">
        <v>16.449459000000001</v>
      </c>
      <c r="H264">
        <v>924</v>
      </c>
    </row>
    <row r="265" spans="1:8" x14ac:dyDescent="0.45">
      <c r="A265">
        <v>2008</v>
      </c>
      <c r="B265" t="s">
        <v>14</v>
      </c>
      <c r="C265">
        <v>80.400000000000006</v>
      </c>
      <c r="D265">
        <v>0.89524000000000004</v>
      </c>
      <c r="E265">
        <v>0.13241</v>
      </c>
      <c r="F265">
        <v>4.3999999999999997E-2</v>
      </c>
      <c r="G265">
        <v>35.120161000000003</v>
      </c>
      <c r="H265">
        <v>4969</v>
      </c>
    </row>
    <row r="266" spans="1:8" x14ac:dyDescent="0.45">
      <c r="A266">
        <v>2008</v>
      </c>
      <c r="B266" t="s">
        <v>15</v>
      </c>
      <c r="C266">
        <v>16.8</v>
      </c>
      <c r="D266">
        <v>0.39588000000000001</v>
      </c>
      <c r="E266">
        <v>0.12970999999999999</v>
      </c>
      <c r="F266">
        <v>0.05</v>
      </c>
      <c r="G266">
        <v>7.64825</v>
      </c>
      <c r="H266">
        <v>903</v>
      </c>
    </row>
    <row r="267" spans="1:8" x14ac:dyDescent="0.45">
      <c r="A267">
        <v>2008</v>
      </c>
      <c r="B267" t="s">
        <v>16</v>
      </c>
      <c r="C267">
        <v>1364.5</v>
      </c>
      <c r="D267">
        <v>12.017899999999999</v>
      </c>
      <c r="E267">
        <v>3.5523500000000001</v>
      </c>
      <c r="F267">
        <v>6.6000000000000003E-2</v>
      </c>
      <c r="G267">
        <v>773.73676699999999</v>
      </c>
      <c r="H267">
        <v>54090</v>
      </c>
    </row>
    <row r="268" spans="1:8" x14ac:dyDescent="0.45">
      <c r="A268">
        <v>2008</v>
      </c>
      <c r="B268" t="s">
        <v>17</v>
      </c>
      <c r="C268">
        <v>326.10000000000002</v>
      </c>
      <c r="D268">
        <v>0.63168000000000002</v>
      </c>
      <c r="E268">
        <v>0.13774</v>
      </c>
      <c r="F268">
        <v>2.9000000000000001E-2</v>
      </c>
      <c r="G268">
        <v>134.98979399999999</v>
      </c>
      <c r="H268">
        <v>4177</v>
      </c>
    </row>
    <row r="269" spans="1:8" x14ac:dyDescent="0.45">
      <c r="A269">
        <v>2008</v>
      </c>
      <c r="B269" t="s">
        <v>18</v>
      </c>
      <c r="C269">
        <v>438.5</v>
      </c>
      <c r="D269">
        <v>20.485900000000001</v>
      </c>
      <c r="E269">
        <v>9.9284499999999998</v>
      </c>
      <c r="F269">
        <v>2.9540000000000002</v>
      </c>
      <c r="G269">
        <v>210.30663200000001</v>
      </c>
      <c r="H269">
        <v>42571</v>
      </c>
    </row>
    <row r="270" spans="1:8" x14ac:dyDescent="0.45">
      <c r="A270">
        <v>2008</v>
      </c>
      <c r="B270" t="s">
        <v>19</v>
      </c>
      <c r="C270">
        <v>1207.9000000000001</v>
      </c>
      <c r="D270">
        <v>5.3757599999999996</v>
      </c>
      <c r="E270">
        <v>0.94001000000000001</v>
      </c>
      <c r="F270">
        <v>0.38700000000000001</v>
      </c>
      <c r="G270">
        <v>462.53616599999998</v>
      </c>
      <c r="H270">
        <v>17039</v>
      </c>
    </row>
    <row r="271" spans="1:8" x14ac:dyDescent="0.45">
      <c r="A271">
        <v>2008</v>
      </c>
      <c r="B271" t="s">
        <v>20</v>
      </c>
      <c r="C271">
        <v>128.19999999999999</v>
      </c>
      <c r="D271">
        <v>5.3332600000000001</v>
      </c>
      <c r="E271">
        <v>3.14758</v>
      </c>
      <c r="F271">
        <v>1.093</v>
      </c>
      <c r="G271">
        <v>66.611354000000006</v>
      </c>
      <c r="H271">
        <v>11960</v>
      </c>
    </row>
    <row r="272" spans="1:8" x14ac:dyDescent="0.45">
      <c r="A272">
        <v>2008</v>
      </c>
      <c r="B272" t="s">
        <v>21</v>
      </c>
      <c r="C272">
        <v>116</v>
      </c>
      <c r="D272">
        <v>2.01444</v>
      </c>
      <c r="E272">
        <v>0.71267000000000003</v>
      </c>
      <c r="F272">
        <v>0.221</v>
      </c>
      <c r="G272">
        <v>37.849558000000002</v>
      </c>
      <c r="H272">
        <v>4297</v>
      </c>
    </row>
    <row r="273" spans="1:8" x14ac:dyDescent="0.45">
      <c r="A273">
        <v>2008</v>
      </c>
      <c r="B273" t="s">
        <v>22</v>
      </c>
      <c r="C273">
        <v>110.4</v>
      </c>
      <c r="D273">
        <v>2.31704</v>
      </c>
      <c r="E273">
        <v>0.87534000000000001</v>
      </c>
      <c r="F273">
        <v>0.25900000000000001</v>
      </c>
      <c r="G273">
        <v>46.418410999999999</v>
      </c>
      <c r="H273">
        <v>4688</v>
      </c>
    </row>
    <row r="274" spans="1:8" x14ac:dyDescent="0.45">
      <c r="A274">
        <v>2008</v>
      </c>
      <c r="B274" t="s">
        <v>23</v>
      </c>
      <c r="C274">
        <v>127.6</v>
      </c>
      <c r="D274">
        <v>0.49886000000000003</v>
      </c>
      <c r="E274">
        <v>0.10191</v>
      </c>
      <c r="F274">
        <v>4.2999999999999997E-2</v>
      </c>
      <c r="G274">
        <v>49.977345</v>
      </c>
      <c r="H274">
        <v>1605</v>
      </c>
    </row>
    <row r="275" spans="1:8" x14ac:dyDescent="0.45">
      <c r="A275">
        <v>2008</v>
      </c>
      <c r="B275" t="s">
        <v>24</v>
      </c>
      <c r="C275">
        <v>75.400000000000006</v>
      </c>
      <c r="D275">
        <v>1.83301</v>
      </c>
      <c r="E275">
        <v>0.44051000000000001</v>
      </c>
      <c r="F275">
        <v>0.16700000000000001</v>
      </c>
      <c r="G275">
        <v>39.258757000000003</v>
      </c>
      <c r="H275">
        <v>5730</v>
      </c>
    </row>
    <row r="276" spans="1:8" x14ac:dyDescent="0.45">
      <c r="A276">
        <v>2008</v>
      </c>
      <c r="B276" t="s">
        <v>25</v>
      </c>
      <c r="C276">
        <v>203.1</v>
      </c>
      <c r="D276">
        <v>2.23115</v>
      </c>
      <c r="E276">
        <v>0.43502999999999997</v>
      </c>
      <c r="F276">
        <v>0.13300000000000001</v>
      </c>
      <c r="G276">
        <v>63.839194999999997</v>
      </c>
      <c r="H276">
        <v>4412</v>
      </c>
    </row>
    <row r="277" spans="1:8" x14ac:dyDescent="0.45">
      <c r="A277">
        <v>2008</v>
      </c>
      <c r="B277" t="s">
        <v>26</v>
      </c>
      <c r="C277">
        <v>167</v>
      </c>
      <c r="D277">
        <v>3.69983</v>
      </c>
      <c r="E277">
        <v>1.0078800000000001</v>
      </c>
      <c r="F277">
        <v>0.33900000000000002</v>
      </c>
      <c r="G277">
        <v>53.105505000000001</v>
      </c>
      <c r="H277">
        <v>14034</v>
      </c>
    </row>
    <row r="278" spans="1:8" x14ac:dyDescent="0.45">
      <c r="A278">
        <v>2008</v>
      </c>
      <c r="B278" t="s">
        <v>27</v>
      </c>
      <c r="C278">
        <v>48.4</v>
      </c>
      <c r="D278">
        <v>1.7313099999999999</v>
      </c>
      <c r="E278">
        <v>0.77432000000000001</v>
      </c>
      <c r="F278">
        <v>0.35399999999999998</v>
      </c>
      <c r="G278">
        <v>24.606328999999999</v>
      </c>
      <c r="H278">
        <v>4895</v>
      </c>
    </row>
    <row r="279" spans="1:8" x14ac:dyDescent="0.45">
      <c r="A279">
        <v>2008</v>
      </c>
      <c r="B279" t="s">
        <v>28</v>
      </c>
      <c r="C279">
        <v>143.80000000000001</v>
      </c>
      <c r="D279">
        <v>4.9020900000000003</v>
      </c>
      <c r="E279">
        <v>0.89646000000000003</v>
      </c>
      <c r="F279">
        <v>0.3</v>
      </c>
      <c r="G279">
        <v>75.991553999999994</v>
      </c>
      <c r="H279">
        <v>16777</v>
      </c>
    </row>
    <row r="280" spans="1:8" x14ac:dyDescent="0.45">
      <c r="A280">
        <v>2008</v>
      </c>
      <c r="B280" t="s">
        <v>29</v>
      </c>
      <c r="C280">
        <v>51.1</v>
      </c>
      <c r="D280">
        <v>0.73172000000000004</v>
      </c>
      <c r="E280">
        <v>0.2482</v>
      </c>
      <c r="F280">
        <v>6.0999999999999999E-2</v>
      </c>
      <c r="G280">
        <v>21.383032</v>
      </c>
      <c r="H280">
        <v>2684</v>
      </c>
    </row>
    <row r="281" spans="1:8" x14ac:dyDescent="0.45">
      <c r="A281">
        <v>2008</v>
      </c>
      <c r="B281" t="s">
        <v>30</v>
      </c>
      <c r="C281">
        <v>135.4</v>
      </c>
      <c r="D281">
        <v>1.3120700000000001</v>
      </c>
      <c r="E281">
        <v>0.40644999999999998</v>
      </c>
      <c r="F281">
        <v>0.106</v>
      </c>
      <c r="G281">
        <v>63.878444000000002</v>
      </c>
      <c r="H281">
        <v>3806</v>
      </c>
    </row>
    <row r="282" spans="1:8" x14ac:dyDescent="0.45">
      <c r="A282">
        <v>2008</v>
      </c>
      <c r="B282" t="s">
        <v>31</v>
      </c>
      <c r="C282">
        <v>612.79999999999995</v>
      </c>
      <c r="D282">
        <v>5.4833100000000004</v>
      </c>
      <c r="E282">
        <v>1.18927</v>
      </c>
      <c r="F282">
        <v>0.47</v>
      </c>
      <c r="G282">
        <v>300.40990299999999</v>
      </c>
      <c r="H282">
        <v>14358</v>
      </c>
    </row>
    <row r="283" spans="1:8" x14ac:dyDescent="0.45">
      <c r="A283">
        <v>2008</v>
      </c>
      <c r="B283" t="s">
        <v>32</v>
      </c>
      <c r="C283">
        <v>7.1</v>
      </c>
      <c r="D283">
        <v>6.6089999999999996E-2</v>
      </c>
      <c r="E283">
        <v>1.6469999999999999E-2</v>
      </c>
      <c r="F283">
        <v>5.0000000000000001E-3</v>
      </c>
      <c r="G283">
        <v>2.7048760000000001</v>
      </c>
      <c r="H283">
        <v>190</v>
      </c>
    </row>
    <row r="284" spans="1:8" x14ac:dyDescent="0.45">
      <c r="A284">
        <v>2008</v>
      </c>
      <c r="B284" t="s">
        <v>33</v>
      </c>
      <c r="C284">
        <v>414.1</v>
      </c>
      <c r="D284">
        <v>1.6989799999999999</v>
      </c>
      <c r="E284">
        <v>0.34805000000000003</v>
      </c>
      <c r="F284">
        <v>7.9000000000000001E-2</v>
      </c>
      <c r="G284">
        <v>135.74276599999999</v>
      </c>
      <c r="H284">
        <v>4178</v>
      </c>
    </row>
    <row r="285" spans="1:8" x14ac:dyDescent="0.45">
      <c r="A285">
        <v>2008</v>
      </c>
      <c r="B285" t="s">
        <v>34</v>
      </c>
      <c r="C285">
        <v>7.6</v>
      </c>
      <c r="D285">
        <v>0.57628999999999997</v>
      </c>
      <c r="E285">
        <v>0.39576</v>
      </c>
      <c r="F285">
        <v>0.16700000000000001</v>
      </c>
      <c r="G285">
        <v>4.4110120000000004</v>
      </c>
      <c r="H285">
        <v>839</v>
      </c>
    </row>
    <row r="286" spans="1:8" x14ac:dyDescent="0.45">
      <c r="A286">
        <v>2008</v>
      </c>
      <c r="B286" t="s">
        <v>35</v>
      </c>
      <c r="C286">
        <v>10.3</v>
      </c>
      <c r="D286">
        <v>3.7449999999999997E-2</v>
      </c>
      <c r="E286">
        <v>2.63E-3</v>
      </c>
      <c r="F286" s="1">
        <v>5.9999999999999995E-4</v>
      </c>
      <c r="G286">
        <v>3.5101960000000001</v>
      </c>
      <c r="H286">
        <v>189</v>
      </c>
    </row>
    <row r="287" spans="1:8" x14ac:dyDescent="0.45">
      <c r="A287">
        <v>2008</v>
      </c>
      <c r="B287" t="s">
        <v>36</v>
      </c>
      <c r="C287">
        <v>62</v>
      </c>
      <c r="D287">
        <v>3.0262600000000002</v>
      </c>
      <c r="E287">
        <v>2.2578299999999998</v>
      </c>
      <c r="F287">
        <v>0.46</v>
      </c>
      <c r="G287">
        <v>31.570084000000001</v>
      </c>
      <c r="H287">
        <v>5829</v>
      </c>
    </row>
    <row r="288" spans="1:8" x14ac:dyDescent="0.45">
      <c r="A288">
        <v>2008</v>
      </c>
      <c r="B288" t="s">
        <v>37</v>
      </c>
      <c r="C288">
        <v>305</v>
      </c>
      <c r="D288">
        <v>18.488399999999999</v>
      </c>
      <c r="E288">
        <v>13.610300000000001</v>
      </c>
      <c r="F288">
        <v>3.1179999999999999</v>
      </c>
      <c r="G288">
        <v>158.272885</v>
      </c>
      <c r="H288">
        <v>60887</v>
      </c>
    </row>
    <row r="289" spans="1:8" x14ac:dyDescent="0.45">
      <c r="A289">
        <v>2008</v>
      </c>
      <c r="B289" t="s">
        <v>38</v>
      </c>
      <c r="C289">
        <v>303.2</v>
      </c>
      <c r="D289">
        <v>1.19282</v>
      </c>
      <c r="E289">
        <v>0.11384</v>
      </c>
      <c r="F289">
        <v>3.5999999999999997E-2</v>
      </c>
      <c r="G289">
        <v>126.2595</v>
      </c>
      <c r="H289">
        <v>2794</v>
      </c>
    </row>
    <row r="290" spans="1:8" x14ac:dyDescent="0.45">
      <c r="A290">
        <v>2009</v>
      </c>
      <c r="B290" t="s">
        <v>8</v>
      </c>
      <c r="C290">
        <v>40.9</v>
      </c>
      <c r="D290">
        <v>1.0519000000000001</v>
      </c>
      <c r="E290">
        <v>0.39295000000000002</v>
      </c>
      <c r="F290">
        <v>6.8000000000000005E-2</v>
      </c>
      <c r="G290">
        <v>18.399678000000002</v>
      </c>
      <c r="H290">
        <v>2174</v>
      </c>
    </row>
    <row r="291" spans="1:8" x14ac:dyDescent="0.45">
      <c r="A291">
        <v>2009</v>
      </c>
      <c r="B291" t="s">
        <v>9</v>
      </c>
      <c r="C291">
        <v>26.1</v>
      </c>
      <c r="D291">
        <v>1.31046</v>
      </c>
      <c r="E291">
        <v>0.98126000000000002</v>
      </c>
      <c r="F291">
        <v>0.33900000000000002</v>
      </c>
      <c r="G291">
        <v>13.786883</v>
      </c>
      <c r="H291">
        <v>3515</v>
      </c>
    </row>
    <row r="292" spans="1:8" x14ac:dyDescent="0.45">
      <c r="A292">
        <v>2009</v>
      </c>
      <c r="B292" t="s">
        <v>10</v>
      </c>
      <c r="C292">
        <v>192.1</v>
      </c>
      <c r="D292">
        <v>3.25373</v>
      </c>
      <c r="E292">
        <v>1.30145</v>
      </c>
      <c r="F292">
        <v>0.28999999999999998</v>
      </c>
      <c r="G292">
        <v>96.857149000000007</v>
      </c>
      <c r="H292">
        <v>5747</v>
      </c>
    </row>
    <row r="293" spans="1:8" x14ac:dyDescent="0.45">
      <c r="A293">
        <v>2009</v>
      </c>
      <c r="B293" t="s">
        <v>11</v>
      </c>
      <c r="C293">
        <v>33.799999999999997</v>
      </c>
      <c r="D293">
        <v>1.7337100000000001</v>
      </c>
      <c r="E293">
        <v>1.08148</v>
      </c>
      <c r="F293">
        <v>0.308</v>
      </c>
      <c r="G293">
        <v>18.747581</v>
      </c>
      <c r="H293">
        <v>6938</v>
      </c>
    </row>
    <row r="294" spans="1:8" x14ac:dyDescent="0.45">
      <c r="A294">
        <v>2009</v>
      </c>
      <c r="B294" t="s">
        <v>12</v>
      </c>
      <c r="C294">
        <v>41.3</v>
      </c>
      <c r="D294">
        <v>0.30108000000000001</v>
      </c>
      <c r="E294">
        <v>0.15043999999999999</v>
      </c>
      <c r="F294">
        <v>2.5000000000000001E-2</v>
      </c>
      <c r="G294">
        <v>15.294539</v>
      </c>
      <c r="H294">
        <v>1023</v>
      </c>
    </row>
    <row r="295" spans="1:8" x14ac:dyDescent="0.45">
      <c r="A295">
        <v>2009</v>
      </c>
      <c r="B295" t="s">
        <v>13</v>
      </c>
      <c r="C295">
        <v>42.5</v>
      </c>
      <c r="D295">
        <v>0.42692999999999998</v>
      </c>
      <c r="E295">
        <v>0.15376000000000001</v>
      </c>
      <c r="F295">
        <v>3.5000000000000003E-2</v>
      </c>
      <c r="G295">
        <v>16.808035</v>
      </c>
      <c r="H295">
        <v>963</v>
      </c>
    </row>
    <row r="296" spans="1:8" x14ac:dyDescent="0.45">
      <c r="A296">
        <v>2009</v>
      </c>
      <c r="B296" t="s">
        <v>14</v>
      </c>
      <c r="C296">
        <v>81.5</v>
      </c>
      <c r="D296">
        <v>0.92327000000000004</v>
      </c>
      <c r="E296">
        <v>0.13453999999999999</v>
      </c>
      <c r="F296">
        <v>4.4999999999999998E-2</v>
      </c>
      <c r="G296">
        <v>35.739308000000001</v>
      </c>
      <c r="H296">
        <v>4212</v>
      </c>
    </row>
    <row r="297" spans="1:8" x14ac:dyDescent="0.45">
      <c r="A297">
        <v>2009</v>
      </c>
      <c r="B297" t="s">
        <v>15</v>
      </c>
      <c r="C297">
        <v>17</v>
      </c>
      <c r="D297">
        <v>0.39145999999999997</v>
      </c>
      <c r="E297">
        <v>0.13116</v>
      </c>
      <c r="F297">
        <v>4.3999999999999997E-2</v>
      </c>
      <c r="G297">
        <v>7.7442580000000003</v>
      </c>
      <c r="H297">
        <v>901</v>
      </c>
    </row>
    <row r="298" spans="1:8" x14ac:dyDescent="0.45">
      <c r="A298">
        <v>2009</v>
      </c>
      <c r="B298" t="s">
        <v>16</v>
      </c>
      <c r="C298">
        <v>1373.3</v>
      </c>
      <c r="D298">
        <v>13.0983</v>
      </c>
      <c r="E298">
        <v>3.8916900000000001</v>
      </c>
      <c r="F298">
        <v>6.0999999999999999E-2</v>
      </c>
      <c r="G298">
        <v>776.11684200000002</v>
      </c>
      <c r="H298">
        <v>55838</v>
      </c>
    </row>
    <row r="299" spans="1:8" x14ac:dyDescent="0.45">
      <c r="A299">
        <v>2009</v>
      </c>
      <c r="B299" t="s">
        <v>17</v>
      </c>
      <c r="C299">
        <v>335.5</v>
      </c>
      <c r="D299">
        <v>0.66691</v>
      </c>
      <c r="E299">
        <v>0.15051</v>
      </c>
      <c r="F299">
        <v>3.1E-2</v>
      </c>
      <c r="G299">
        <v>138.96058099999999</v>
      </c>
      <c r="H299">
        <v>4297</v>
      </c>
    </row>
    <row r="300" spans="1:8" x14ac:dyDescent="0.45">
      <c r="A300">
        <v>2009</v>
      </c>
      <c r="B300" t="s">
        <v>18</v>
      </c>
      <c r="C300">
        <v>439.7</v>
      </c>
      <c r="D300">
        <v>19.614799999999999</v>
      </c>
      <c r="E300">
        <v>9.9218799999999998</v>
      </c>
      <c r="F300">
        <v>2.6190000000000002</v>
      </c>
      <c r="G300">
        <v>210.11203599999999</v>
      </c>
      <c r="H300">
        <v>40677</v>
      </c>
    </row>
    <row r="301" spans="1:8" x14ac:dyDescent="0.45">
      <c r="A301">
        <v>2009</v>
      </c>
      <c r="B301" t="s">
        <v>19</v>
      </c>
      <c r="C301">
        <v>1225.5</v>
      </c>
      <c r="D301">
        <v>5.7984</v>
      </c>
      <c r="E301">
        <v>1.0005299999999999</v>
      </c>
      <c r="F301">
        <v>0.41699999999999998</v>
      </c>
      <c r="G301">
        <v>464.96169300000003</v>
      </c>
      <c r="H301">
        <v>18104</v>
      </c>
    </row>
    <row r="302" spans="1:8" x14ac:dyDescent="0.45">
      <c r="A302">
        <v>2009</v>
      </c>
      <c r="B302" t="s">
        <v>20</v>
      </c>
      <c r="C302">
        <v>128.19999999999999</v>
      </c>
      <c r="D302">
        <v>5.0296200000000004</v>
      </c>
      <c r="E302">
        <v>3.1409600000000002</v>
      </c>
      <c r="F302">
        <v>0.98299999999999998</v>
      </c>
      <c r="G302">
        <v>66.339021000000002</v>
      </c>
      <c r="H302">
        <v>11520</v>
      </c>
    </row>
    <row r="303" spans="1:8" x14ac:dyDescent="0.45">
      <c r="A303">
        <v>2009</v>
      </c>
      <c r="B303" t="s">
        <v>21</v>
      </c>
      <c r="C303">
        <v>117.7</v>
      </c>
      <c r="D303">
        <v>1.97509</v>
      </c>
      <c r="E303">
        <v>0.71504999999999996</v>
      </c>
      <c r="F303">
        <v>0.191</v>
      </c>
      <c r="G303">
        <v>39.096812999999997</v>
      </c>
      <c r="H303">
        <v>4217</v>
      </c>
    </row>
    <row r="304" spans="1:8" x14ac:dyDescent="0.45">
      <c r="A304">
        <v>2009</v>
      </c>
      <c r="B304" t="s">
        <v>22</v>
      </c>
      <c r="C304">
        <v>112</v>
      </c>
      <c r="D304">
        <v>2.1711800000000001</v>
      </c>
      <c r="E304">
        <v>0.82491000000000003</v>
      </c>
      <c r="F304">
        <v>0.22800000000000001</v>
      </c>
      <c r="G304">
        <v>47.339852999999998</v>
      </c>
      <c r="H304">
        <v>4435</v>
      </c>
    </row>
    <row r="305" spans="1:8" x14ac:dyDescent="0.45">
      <c r="A305">
        <v>2009</v>
      </c>
      <c r="B305" t="s">
        <v>23</v>
      </c>
      <c r="C305">
        <v>131.6</v>
      </c>
      <c r="D305">
        <v>0.50897000000000003</v>
      </c>
      <c r="E305">
        <v>0.10824</v>
      </c>
      <c r="F305">
        <v>4.7E-2</v>
      </c>
      <c r="G305">
        <v>50.992851999999999</v>
      </c>
      <c r="H305">
        <v>1659</v>
      </c>
    </row>
    <row r="306" spans="1:8" x14ac:dyDescent="0.45">
      <c r="A306">
        <v>2009</v>
      </c>
      <c r="B306" t="s">
        <v>24</v>
      </c>
      <c r="C306">
        <v>75</v>
      </c>
      <c r="D306">
        <v>1.68293</v>
      </c>
      <c r="E306">
        <v>0.42836999999999997</v>
      </c>
      <c r="F306">
        <v>0.13800000000000001</v>
      </c>
      <c r="G306">
        <v>39.132527000000003</v>
      </c>
      <c r="H306">
        <v>5113</v>
      </c>
    </row>
    <row r="307" spans="1:8" x14ac:dyDescent="0.45">
      <c r="A307">
        <v>2009</v>
      </c>
      <c r="B307" t="s">
        <v>25</v>
      </c>
      <c r="C307">
        <v>207</v>
      </c>
      <c r="D307">
        <v>2.2877000000000001</v>
      </c>
      <c r="E307">
        <v>0.45946999999999999</v>
      </c>
      <c r="F307">
        <v>0.13200000000000001</v>
      </c>
      <c r="G307">
        <v>65.395833999999994</v>
      </c>
      <c r="H307">
        <v>4564</v>
      </c>
    </row>
    <row r="308" spans="1:8" x14ac:dyDescent="0.45">
      <c r="A308">
        <v>2009</v>
      </c>
      <c r="B308" t="s">
        <v>26</v>
      </c>
      <c r="C308">
        <v>171.6</v>
      </c>
      <c r="D308">
        <v>3.6955800000000001</v>
      </c>
      <c r="E308">
        <v>0.99585999999999997</v>
      </c>
      <c r="F308">
        <v>0.32700000000000001</v>
      </c>
      <c r="G308">
        <v>55.524332999999999</v>
      </c>
      <c r="H308">
        <v>14904</v>
      </c>
    </row>
    <row r="309" spans="1:8" x14ac:dyDescent="0.45">
      <c r="A309">
        <v>2009</v>
      </c>
      <c r="B309" t="s">
        <v>27</v>
      </c>
      <c r="C309">
        <v>48.5</v>
      </c>
      <c r="D309">
        <v>1.7450300000000001</v>
      </c>
      <c r="E309">
        <v>0.78652</v>
      </c>
      <c r="F309">
        <v>0.35599999999999998</v>
      </c>
      <c r="G309">
        <v>24.664943000000001</v>
      </c>
      <c r="H309">
        <v>4878</v>
      </c>
    </row>
    <row r="310" spans="1:8" x14ac:dyDescent="0.45">
      <c r="A310">
        <v>2009</v>
      </c>
      <c r="B310" t="s">
        <v>28</v>
      </c>
      <c r="C310">
        <v>143.9</v>
      </c>
      <c r="D310">
        <v>4.51973</v>
      </c>
      <c r="E310">
        <v>0.86150000000000004</v>
      </c>
      <c r="F310">
        <v>0.25700000000000001</v>
      </c>
      <c r="G310">
        <v>76.024652000000003</v>
      </c>
      <c r="H310">
        <v>15685</v>
      </c>
    </row>
    <row r="311" spans="1:8" x14ac:dyDescent="0.45">
      <c r="A311">
        <v>2009</v>
      </c>
      <c r="B311" t="s">
        <v>29</v>
      </c>
      <c r="C311">
        <v>51.7</v>
      </c>
      <c r="D311">
        <v>0.72045999999999999</v>
      </c>
      <c r="E311">
        <v>0.24424999999999999</v>
      </c>
      <c r="F311">
        <v>5.7000000000000002E-2</v>
      </c>
      <c r="G311">
        <v>21.120517</v>
      </c>
      <c r="H311">
        <v>2788</v>
      </c>
    </row>
    <row r="312" spans="1:8" x14ac:dyDescent="0.45">
      <c r="A312">
        <v>2009</v>
      </c>
      <c r="B312" t="s">
        <v>30</v>
      </c>
      <c r="C312">
        <v>137</v>
      </c>
      <c r="D312">
        <v>1.3301400000000001</v>
      </c>
      <c r="E312">
        <v>0.41887999999999997</v>
      </c>
      <c r="F312">
        <v>0.106</v>
      </c>
      <c r="G312">
        <v>65.722598000000005</v>
      </c>
      <c r="H312">
        <v>3917</v>
      </c>
    </row>
    <row r="313" spans="1:8" x14ac:dyDescent="0.45">
      <c r="A313">
        <v>2009</v>
      </c>
      <c r="B313" t="s">
        <v>31</v>
      </c>
      <c r="C313">
        <v>620.79999999999995</v>
      </c>
      <c r="D313">
        <v>5.6166499999999999</v>
      </c>
      <c r="E313">
        <v>1.23177</v>
      </c>
      <c r="F313">
        <v>0.47399999999999998</v>
      </c>
      <c r="G313">
        <v>305.92969299999999</v>
      </c>
      <c r="H313">
        <v>14556</v>
      </c>
    </row>
    <row r="314" spans="1:8" x14ac:dyDescent="0.45">
      <c r="A314">
        <v>2009</v>
      </c>
      <c r="B314" t="s">
        <v>32</v>
      </c>
      <c r="C314">
        <v>7.2</v>
      </c>
      <c r="D314">
        <v>6.1800000000000001E-2</v>
      </c>
      <c r="E314">
        <v>1.7760000000000001E-2</v>
      </c>
      <c r="F314">
        <v>5.0000000000000001E-3</v>
      </c>
      <c r="G314">
        <v>2.7596530000000001</v>
      </c>
      <c r="H314">
        <v>193</v>
      </c>
    </row>
    <row r="315" spans="1:8" x14ac:dyDescent="0.45">
      <c r="A315">
        <v>2009</v>
      </c>
      <c r="B315" t="s">
        <v>33</v>
      </c>
      <c r="C315">
        <v>421.7</v>
      </c>
      <c r="D315">
        <v>1.7777400000000001</v>
      </c>
      <c r="E315">
        <v>0.35638999999999998</v>
      </c>
      <c r="F315">
        <v>0.08</v>
      </c>
      <c r="G315">
        <v>139.47405499999999</v>
      </c>
      <c r="H315">
        <v>4276</v>
      </c>
    </row>
    <row r="316" spans="1:8" x14ac:dyDescent="0.45">
      <c r="A316">
        <v>2009</v>
      </c>
      <c r="B316" t="s">
        <v>34</v>
      </c>
      <c r="C316">
        <v>7.7</v>
      </c>
      <c r="D316">
        <v>0.56305000000000005</v>
      </c>
      <c r="E316">
        <v>0.40322999999999998</v>
      </c>
      <c r="F316">
        <v>0.155</v>
      </c>
      <c r="G316">
        <v>4.4805599999999997</v>
      </c>
      <c r="H316">
        <v>822</v>
      </c>
    </row>
    <row r="317" spans="1:8" x14ac:dyDescent="0.45">
      <c r="A317">
        <v>2009</v>
      </c>
      <c r="B317" t="s">
        <v>35</v>
      </c>
      <c r="C317">
        <v>10.5</v>
      </c>
      <c r="D317">
        <v>3.8899999999999997E-2</v>
      </c>
      <c r="E317">
        <v>3.3E-3</v>
      </c>
      <c r="F317" s="1">
        <v>8.0000000000000004E-4</v>
      </c>
      <c r="G317">
        <v>3.495622</v>
      </c>
      <c r="H317">
        <v>190</v>
      </c>
    </row>
    <row r="318" spans="1:8" x14ac:dyDescent="0.45">
      <c r="A318">
        <v>2009</v>
      </c>
      <c r="B318" t="s">
        <v>36</v>
      </c>
      <c r="C318">
        <v>62.5</v>
      </c>
      <c r="D318">
        <v>2.8864299999999998</v>
      </c>
      <c r="E318">
        <v>2.2157800000000001</v>
      </c>
      <c r="F318">
        <v>0.40300000000000002</v>
      </c>
      <c r="G318">
        <v>31.721347000000002</v>
      </c>
      <c r="H318">
        <v>5440</v>
      </c>
    </row>
    <row r="319" spans="1:8" x14ac:dyDescent="0.45">
      <c r="A319">
        <v>2009</v>
      </c>
      <c r="B319" t="s">
        <v>37</v>
      </c>
      <c r="C319">
        <v>308</v>
      </c>
      <c r="D319">
        <v>18.0121</v>
      </c>
      <c r="E319">
        <v>13.5785</v>
      </c>
      <c r="F319">
        <v>2.6120000000000001</v>
      </c>
      <c r="G319">
        <v>158.353162</v>
      </c>
      <c r="H319">
        <v>58053</v>
      </c>
    </row>
    <row r="320" spans="1:8" x14ac:dyDescent="0.45">
      <c r="A320">
        <v>2009</v>
      </c>
      <c r="B320" t="s">
        <v>38</v>
      </c>
      <c r="C320">
        <v>311.7</v>
      </c>
      <c r="D320">
        <v>1.26827</v>
      </c>
      <c r="E320">
        <v>0.11741</v>
      </c>
      <c r="F320">
        <v>3.2000000000000001E-2</v>
      </c>
      <c r="G320">
        <v>129.48713000000001</v>
      </c>
      <c r="H320">
        <v>2804</v>
      </c>
    </row>
    <row r="321" spans="1:8" x14ac:dyDescent="0.45">
      <c r="A321">
        <v>2010</v>
      </c>
      <c r="B321" t="s">
        <v>8</v>
      </c>
      <c r="C321">
        <v>41.3</v>
      </c>
      <c r="D321">
        <v>1.1584099999999999</v>
      </c>
      <c r="E321">
        <v>0.43351000000000001</v>
      </c>
      <c r="F321">
        <v>8.5999999999999993E-2</v>
      </c>
      <c r="G321">
        <v>18.468692000000001</v>
      </c>
      <c r="H321">
        <v>2291</v>
      </c>
    </row>
    <row r="322" spans="1:8" x14ac:dyDescent="0.45">
      <c r="A322">
        <v>2010</v>
      </c>
      <c r="B322" t="s">
        <v>9</v>
      </c>
      <c r="C322">
        <v>26.5</v>
      </c>
      <c r="D322">
        <v>1.3382000000000001</v>
      </c>
      <c r="E322">
        <v>1.01</v>
      </c>
      <c r="F322">
        <v>0.34499999999999997</v>
      </c>
      <c r="G322">
        <v>14.000895999999999</v>
      </c>
      <c r="H322">
        <v>3560</v>
      </c>
    </row>
    <row r="323" spans="1:8" x14ac:dyDescent="0.45">
      <c r="A323">
        <v>2010</v>
      </c>
      <c r="B323" t="s">
        <v>10</v>
      </c>
      <c r="C323">
        <v>193.7</v>
      </c>
      <c r="D323">
        <v>3.4986799999999998</v>
      </c>
      <c r="E323">
        <v>1.3752899999999999</v>
      </c>
      <c r="F323">
        <v>0.34200000000000003</v>
      </c>
      <c r="G323">
        <v>96.467543000000006</v>
      </c>
      <c r="H323">
        <v>6303</v>
      </c>
    </row>
    <row r="324" spans="1:8" x14ac:dyDescent="0.45">
      <c r="A324">
        <v>2010</v>
      </c>
      <c r="B324" t="s">
        <v>11</v>
      </c>
      <c r="C324">
        <v>34.200000000000003</v>
      </c>
      <c r="D324">
        <v>1.7873000000000001</v>
      </c>
      <c r="E324">
        <v>1.1162799999999999</v>
      </c>
      <c r="F324">
        <v>0.34399999999999997</v>
      </c>
      <c r="G324">
        <v>18.934218000000001</v>
      </c>
      <c r="H324">
        <v>7017</v>
      </c>
    </row>
    <row r="325" spans="1:8" x14ac:dyDescent="0.45">
      <c r="A325">
        <v>2010</v>
      </c>
      <c r="B325" t="s">
        <v>12</v>
      </c>
      <c r="C325">
        <v>41.5</v>
      </c>
      <c r="D325">
        <v>0.31128</v>
      </c>
      <c r="E325">
        <v>0.15622</v>
      </c>
      <c r="F325">
        <v>2.8000000000000001E-2</v>
      </c>
      <c r="G325">
        <v>15.479358</v>
      </c>
      <c r="H325">
        <v>1016</v>
      </c>
    </row>
    <row r="326" spans="1:8" x14ac:dyDescent="0.45">
      <c r="A326">
        <v>2010</v>
      </c>
      <c r="B326" t="s">
        <v>13</v>
      </c>
      <c r="C326">
        <v>43.2</v>
      </c>
      <c r="D326">
        <v>0.44413000000000002</v>
      </c>
      <c r="E326">
        <v>0.16022</v>
      </c>
      <c r="F326">
        <v>3.5999999999999997E-2</v>
      </c>
      <c r="G326">
        <v>17.225874999999998</v>
      </c>
      <c r="H326">
        <v>962</v>
      </c>
    </row>
    <row r="327" spans="1:8" x14ac:dyDescent="0.45">
      <c r="A327">
        <v>2010</v>
      </c>
      <c r="B327" t="s">
        <v>14</v>
      </c>
      <c r="C327">
        <v>82.6</v>
      </c>
      <c r="D327">
        <v>0.98319999999999996</v>
      </c>
      <c r="E327">
        <v>0.16450999999999999</v>
      </c>
      <c r="F327">
        <v>5.2999999999999999E-2</v>
      </c>
      <c r="G327">
        <v>36.311509999999998</v>
      </c>
      <c r="H327">
        <v>4646</v>
      </c>
    </row>
    <row r="328" spans="1:8" x14ac:dyDescent="0.45">
      <c r="A328">
        <v>2010</v>
      </c>
      <c r="B328" t="s">
        <v>15</v>
      </c>
      <c r="C328">
        <v>17.2</v>
      </c>
      <c r="D328">
        <v>0.41436000000000001</v>
      </c>
      <c r="E328">
        <v>0.14423</v>
      </c>
      <c r="F328">
        <v>4.9000000000000002E-2</v>
      </c>
      <c r="G328">
        <v>8.1139209999999995</v>
      </c>
      <c r="H328">
        <v>958</v>
      </c>
    </row>
    <row r="329" spans="1:8" x14ac:dyDescent="0.45">
      <c r="A329">
        <v>2010</v>
      </c>
      <c r="B329" t="s">
        <v>16</v>
      </c>
      <c r="C329">
        <v>1382.4</v>
      </c>
      <c r="D329">
        <v>14.4802</v>
      </c>
      <c r="E329">
        <v>4.2494100000000001</v>
      </c>
      <c r="F329">
        <v>6.4000000000000001E-2</v>
      </c>
      <c r="G329">
        <v>777.82768599999997</v>
      </c>
      <c r="H329">
        <v>59196</v>
      </c>
    </row>
    <row r="330" spans="1:8" x14ac:dyDescent="0.45">
      <c r="A330">
        <v>2010</v>
      </c>
      <c r="B330" t="s">
        <v>17</v>
      </c>
      <c r="C330">
        <v>345.3</v>
      </c>
      <c r="D330">
        <v>0.72158999999999995</v>
      </c>
      <c r="E330">
        <v>0.16089999999999999</v>
      </c>
      <c r="F330">
        <v>3.4000000000000002E-2</v>
      </c>
      <c r="G330">
        <v>143.14911699999999</v>
      </c>
      <c r="H330">
        <v>4392</v>
      </c>
    </row>
    <row r="331" spans="1:8" x14ac:dyDescent="0.45">
      <c r="A331">
        <v>2010</v>
      </c>
      <c r="B331" t="s">
        <v>18</v>
      </c>
      <c r="C331">
        <v>440.6</v>
      </c>
      <c r="D331">
        <v>20.0093</v>
      </c>
      <c r="E331">
        <v>10.0123</v>
      </c>
      <c r="F331">
        <v>2.609</v>
      </c>
      <c r="G331">
        <v>211.01475400000001</v>
      </c>
      <c r="H331">
        <v>42421</v>
      </c>
    </row>
    <row r="332" spans="1:8" x14ac:dyDescent="0.45">
      <c r="A332">
        <v>2010</v>
      </c>
      <c r="B332" t="s">
        <v>19</v>
      </c>
      <c r="C332">
        <v>1243.5</v>
      </c>
      <c r="D332">
        <v>6.2911299999999999</v>
      </c>
      <c r="E332">
        <v>1.0652600000000001</v>
      </c>
      <c r="F332">
        <v>0.46300000000000002</v>
      </c>
      <c r="G332">
        <v>467.56198899999998</v>
      </c>
      <c r="H332">
        <v>17739</v>
      </c>
    </row>
    <row r="333" spans="1:8" x14ac:dyDescent="0.45">
      <c r="A333">
        <v>2010</v>
      </c>
      <c r="B333" t="s">
        <v>20</v>
      </c>
      <c r="C333">
        <v>128.19999999999999</v>
      </c>
      <c r="D333">
        <v>5.2357300000000002</v>
      </c>
      <c r="E333">
        <v>3.2105399999999999</v>
      </c>
      <c r="F333">
        <v>0.97099999999999997</v>
      </c>
      <c r="G333">
        <v>66.100429000000005</v>
      </c>
      <c r="H333">
        <v>11820</v>
      </c>
    </row>
    <row r="334" spans="1:8" x14ac:dyDescent="0.45">
      <c r="A334">
        <v>2010</v>
      </c>
      <c r="B334" t="s">
        <v>21</v>
      </c>
      <c r="C334">
        <v>119.5</v>
      </c>
      <c r="D334">
        <v>2.1213899999999999</v>
      </c>
      <c r="E334">
        <v>0.76709000000000005</v>
      </c>
      <c r="F334">
        <v>0.222</v>
      </c>
      <c r="G334">
        <v>40.441794999999999</v>
      </c>
      <c r="H334">
        <v>4420</v>
      </c>
    </row>
    <row r="335" spans="1:8" x14ac:dyDescent="0.45">
      <c r="A335">
        <v>2010</v>
      </c>
      <c r="B335" t="s">
        <v>22</v>
      </c>
      <c r="C335">
        <v>113.6</v>
      </c>
      <c r="D335">
        <v>2.2791100000000002</v>
      </c>
      <c r="E335">
        <v>0.85990999999999995</v>
      </c>
      <c r="F335">
        <v>0.24299999999999999</v>
      </c>
      <c r="G335">
        <v>48.189452000000003</v>
      </c>
      <c r="H335">
        <v>4654</v>
      </c>
    </row>
    <row r="336" spans="1:8" x14ac:dyDescent="0.45">
      <c r="A336">
        <v>2010</v>
      </c>
      <c r="B336" t="s">
        <v>23</v>
      </c>
      <c r="C336">
        <v>135.9</v>
      </c>
      <c r="D336">
        <v>0.53154000000000001</v>
      </c>
      <c r="E336">
        <v>0.1154</v>
      </c>
      <c r="F336">
        <v>4.5999999999999999E-2</v>
      </c>
      <c r="G336">
        <v>52.056975999999999</v>
      </c>
      <c r="H336">
        <v>1726</v>
      </c>
    </row>
    <row r="337" spans="1:8" x14ac:dyDescent="0.45">
      <c r="A337">
        <v>2010</v>
      </c>
      <c r="B337" t="s">
        <v>24</v>
      </c>
      <c r="C337">
        <v>74.7</v>
      </c>
      <c r="D337">
        <v>1.73977</v>
      </c>
      <c r="E337">
        <v>0.44367000000000001</v>
      </c>
      <c r="F337">
        <v>0.13500000000000001</v>
      </c>
      <c r="G337">
        <v>39.003214999999997</v>
      </c>
      <c r="H337">
        <v>5481</v>
      </c>
    </row>
    <row r="338" spans="1:8" x14ac:dyDescent="0.45">
      <c r="A338">
        <v>2010</v>
      </c>
      <c r="B338" t="s">
        <v>25</v>
      </c>
      <c r="C338">
        <v>210.9</v>
      </c>
      <c r="D338">
        <v>2.3945799999999999</v>
      </c>
      <c r="E338">
        <v>0.53219000000000005</v>
      </c>
      <c r="F338">
        <v>0.158</v>
      </c>
      <c r="G338">
        <v>67.590897999999996</v>
      </c>
      <c r="H338">
        <v>4771</v>
      </c>
    </row>
    <row r="339" spans="1:8" x14ac:dyDescent="0.45">
      <c r="A339">
        <v>2010</v>
      </c>
      <c r="B339" t="s">
        <v>26</v>
      </c>
      <c r="C339">
        <v>175.9</v>
      </c>
      <c r="D339">
        <v>3.8862899999999998</v>
      </c>
      <c r="E339">
        <v>1.0329699999999999</v>
      </c>
      <c r="F339">
        <v>0.35199999999999998</v>
      </c>
      <c r="G339">
        <v>56.554709000000003</v>
      </c>
      <c r="H339">
        <v>15695</v>
      </c>
    </row>
    <row r="340" spans="1:8" x14ac:dyDescent="0.45">
      <c r="A340">
        <v>2010</v>
      </c>
      <c r="B340" t="s">
        <v>27</v>
      </c>
      <c r="C340">
        <v>48.8</v>
      </c>
      <c r="D340">
        <v>1.86378</v>
      </c>
      <c r="E340">
        <v>0.82320000000000004</v>
      </c>
      <c r="F340">
        <v>0.376</v>
      </c>
      <c r="G340">
        <v>24.998080999999999</v>
      </c>
      <c r="H340">
        <v>5270</v>
      </c>
    </row>
    <row r="341" spans="1:8" x14ac:dyDescent="0.45">
      <c r="A341">
        <v>2010</v>
      </c>
      <c r="B341" t="s">
        <v>28</v>
      </c>
      <c r="C341">
        <v>143.9</v>
      </c>
      <c r="D341">
        <v>4.7231199999999998</v>
      </c>
      <c r="E341">
        <v>0.89165000000000005</v>
      </c>
      <c r="F341">
        <v>0.27200000000000002</v>
      </c>
      <c r="G341">
        <v>75.955044000000001</v>
      </c>
      <c r="H341">
        <v>16494</v>
      </c>
    </row>
    <row r="342" spans="1:8" x14ac:dyDescent="0.45">
      <c r="A342">
        <v>2010</v>
      </c>
      <c r="B342" t="s">
        <v>29</v>
      </c>
      <c r="C342">
        <v>52.3</v>
      </c>
      <c r="D342">
        <v>0.74236000000000002</v>
      </c>
      <c r="E342">
        <v>0.25468000000000002</v>
      </c>
      <c r="F342">
        <v>5.5E-2</v>
      </c>
      <c r="G342">
        <v>20.017931999999998</v>
      </c>
      <c r="H342">
        <v>2247</v>
      </c>
    </row>
    <row r="343" spans="1:8" x14ac:dyDescent="0.45">
      <c r="A343">
        <v>2010</v>
      </c>
      <c r="B343" t="s">
        <v>30</v>
      </c>
      <c r="C343">
        <v>138.5</v>
      </c>
      <c r="D343">
        <v>1.40822</v>
      </c>
      <c r="E343">
        <v>0.44607000000000002</v>
      </c>
      <c r="F343">
        <v>0.12</v>
      </c>
      <c r="G343">
        <v>66.810676999999998</v>
      </c>
      <c r="H343">
        <v>4209</v>
      </c>
    </row>
    <row r="344" spans="1:8" x14ac:dyDescent="0.45">
      <c r="A344">
        <v>2010</v>
      </c>
      <c r="B344" t="s">
        <v>31</v>
      </c>
      <c r="C344">
        <v>628.70000000000005</v>
      </c>
      <c r="D344">
        <v>6.0349700000000004</v>
      </c>
      <c r="E344">
        <v>1.29691</v>
      </c>
      <c r="F344">
        <v>0.52100000000000002</v>
      </c>
      <c r="G344">
        <v>311.925274</v>
      </c>
      <c r="H344">
        <v>15350</v>
      </c>
    </row>
    <row r="345" spans="1:8" x14ac:dyDescent="0.45">
      <c r="A345">
        <v>2010</v>
      </c>
      <c r="B345" t="s">
        <v>32</v>
      </c>
      <c r="C345">
        <v>7.3</v>
      </c>
      <c r="D345">
        <v>6.6390000000000005E-2</v>
      </c>
      <c r="E345">
        <v>1.7850000000000001E-2</v>
      </c>
      <c r="F345">
        <v>5.0000000000000001E-3</v>
      </c>
      <c r="G345">
        <v>2.764068</v>
      </c>
      <c r="H345">
        <v>190</v>
      </c>
    </row>
    <row r="346" spans="1:8" x14ac:dyDescent="0.45">
      <c r="A346">
        <v>2010</v>
      </c>
      <c r="B346" t="s">
        <v>33</v>
      </c>
      <c r="C346">
        <v>429</v>
      </c>
      <c r="D346">
        <v>1.8536999999999999</v>
      </c>
      <c r="E346">
        <v>0.36632999999999999</v>
      </c>
      <c r="F346">
        <v>0.08</v>
      </c>
      <c r="G346">
        <v>143.20228900000001</v>
      </c>
      <c r="H346">
        <v>4405</v>
      </c>
    </row>
    <row r="347" spans="1:8" x14ac:dyDescent="0.45">
      <c r="A347">
        <v>2010</v>
      </c>
      <c r="B347" t="s">
        <v>34</v>
      </c>
      <c r="C347">
        <v>7.8</v>
      </c>
      <c r="D347">
        <v>0.58131999999999995</v>
      </c>
      <c r="E347">
        <v>0.41005999999999998</v>
      </c>
      <c r="F347">
        <v>0.161</v>
      </c>
      <c r="G347">
        <v>4.4490189999999998</v>
      </c>
      <c r="H347">
        <v>856</v>
      </c>
    </row>
    <row r="348" spans="1:8" x14ac:dyDescent="0.45">
      <c r="A348">
        <v>2010</v>
      </c>
      <c r="B348" t="s">
        <v>35</v>
      </c>
      <c r="C348">
        <v>10.8</v>
      </c>
      <c r="D348">
        <v>4.1919999999999999E-2</v>
      </c>
      <c r="E348">
        <v>3.3800000000000002E-3</v>
      </c>
      <c r="F348">
        <v>1E-3</v>
      </c>
      <c r="G348">
        <v>3.472569</v>
      </c>
      <c r="H348">
        <v>199</v>
      </c>
    </row>
    <row r="349" spans="1:8" x14ac:dyDescent="0.45">
      <c r="A349">
        <v>2010</v>
      </c>
      <c r="B349" t="s">
        <v>36</v>
      </c>
      <c r="C349">
        <v>63</v>
      </c>
      <c r="D349">
        <v>2.9508899999999998</v>
      </c>
      <c r="E349">
        <v>2.2513999999999998</v>
      </c>
      <c r="F349">
        <v>0.42199999999999999</v>
      </c>
      <c r="G349">
        <v>31.884620999999999</v>
      </c>
      <c r="H349">
        <v>5706</v>
      </c>
    </row>
    <row r="350" spans="1:8" x14ac:dyDescent="0.45">
      <c r="A350">
        <v>2010</v>
      </c>
      <c r="B350" t="s">
        <v>37</v>
      </c>
      <c r="C350">
        <v>311.10000000000002</v>
      </c>
      <c r="D350">
        <v>18.497499999999999</v>
      </c>
      <c r="E350">
        <v>13.7835</v>
      </c>
      <c r="F350">
        <v>2.879</v>
      </c>
      <c r="G350">
        <v>158.33016799999999</v>
      </c>
      <c r="H350">
        <v>60546</v>
      </c>
    </row>
    <row r="351" spans="1:8" x14ac:dyDescent="0.45">
      <c r="A351">
        <v>2010</v>
      </c>
      <c r="B351" t="s">
        <v>38</v>
      </c>
      <c r="C351">
        <v>320.5</v>
      </c>
      <c r="D351">
        <v>1.36215</v>
      </c>
      <c r="E351">
        <v>0.12517</v>
      </c>
      <c r="F351">
        <v>3.4000000000000002E-2</v>
      </c>
      <c r="G351">
        <v>132.80193600000001</v>
      </c>
      <c r="H351">
        <v>3089</v>
      </c>
    </row>
    <row r="352" spans="1:8" x14ac:dyDescent="0.45">
      <c r="A352">
        <v>2011</v>
      </c>
      <c r="B352" t="s">
        <v>8</v>
      </c>
      <c r="C352">
        <v>41.7</v>
      </c>
      <c r="D352">
        <v>1.2279599999999999</v>
      </c>
      <c r="E352">
        <v>0.47110999999999997</v>
      </c>
      <c r="F352">
        <v>0.10100000000000001</v>
      </c>
      <c r="G352">
        <v>18.857586000000001</v>
      </c>
      <c r="H352">
        <v>2387</v>
      </c>
    </row>
    <row r="353" spans="1:8" x14ac:dyDescent="0.45">
      <c r="A353">
        <v>2011</v>
      </c>
      <c r="B353" t="s">
        <v>9</v>
      </c>
      <c r="C353">
        <v>26.9</v>
      </c>
      <c r="D353">
        <v>1.36985</v>
      </c>
      <c r="E353">
        <v>1.0473699999999999</v>
      </c>
      <c r="F353">
        <v>0.35799999999999998</v>
      </c>
      <c r="G353">
        <v>14.216423000000001</v>
      </c>
      <c r="H353">
        <v>3638</v>
      </c>
    </row>
    <row r="354" spans="1:8" x14ac:dyDescent="0.45">
      <c r="A354">
        <v>2011</v>
      </c>
      <c r="B354" t="s">
        <v>10</v>
      </c>
      <c r="C354">
        <v>195.3</v>
      </c>
      <c r="D354">
        <v>3.6377299999999999</v>
      </c>
      <c r="E354">
        <v>1.43293</v>
      </c>
      <c r="F354">
        <v>0.36599999999999999</v>
      </c>
      <c r="G354">
        <v>95.987651999999997</v>
      </c>
      <c r="H354">
        <v>6593</v>
      </c>
    </row>
    <row r="355" spans="1:8" x14ac:dyDescent="0.45">
      <c r="A355">
        <v>2011</v>
      </c>
      <c r="B355" t="s">
        <v>11</v>
      </c>
      <c r="C355">
        <v>34.6</v>
      </c>
      <c r="D355">
        <v>1.84337</v>
      </c>
      <c r="E355">
        <v>1.1387400000000001</v>
      </c>
      <c r="F355">
        <v>0.36</v>
      </c>
      <c r="G355">
        <v>19.112504999999999</v>
      </c>
      <c r="H355">
        <v>7291</v>
      </c>
    </row>
    <row r="356" spans="1:8" x14ac:dyDescent="0.45">
      <c r="A356">
        <v>2011</v>
      </c>
      <c r="B356" t="s">
        <v>12</v>
      </c>
      <c r="C356">
        <v>41.8</v>
      </c>
      <c r="D356">
        <v>0.31757000000000002</v>
      </c>
      <c r="E356">
        <v>0.15895999999999999</v>
      </c>
      <c r="F356">
        <v>2.8000000000000001E-2</v>
      </c>
      <c r="G356">
        <v>15.77655</v>
      </c>
      <c r="H356">
        <v>969</v>
      </c>
    </row>
    <row r="357" spans="1:8" x14ac:dyDescent="0.45">
      <c r="A357">
        <v>2011</v>
      </c>
      <c r="B357" t="s">
        <v>13</v>
      </c>
      <c r="C357">
        <v>43.9</v>
      </c>
      <c r="D357">
        <v>0.46939999999999998</v>
      </c>
      <c r="E357">
        <v>0.16694999999999999</v>
      </c>
      <c r="F357">
        <v>0.04</v>
      </c>
      <c r="G357">
        <v>17.619710000000001</v>
      </c>
      <c r="H357">
        <v>1014</v>
      </c>
    </row>
    <row r="358" spans="1:8" x14ac:dyDescent="0.45">
      <c r="A358">
        <v>2011</v>
      </c>
      <c r="B358" t="s">
        <v>14</v>
      </c>
      <c r="C358">
        <v>83.8</v>
      </c>
      <c r="D358">
        <v>1.04512</v>
      </c>
      <c r="E358">
        <v>0.18229000000000001</v>
      </c>
      <c r="F358">
        <v>5.6000000000000001E-2</v>
      </c>
      <c r="G358">
        <v>36.857784000000002</v>
      </c>
      <c r="H358">
        <v>4948</v>
      </c>
    </row>
    <row r="359" spans="1:8" x14ac:dyDescent="0.45">
      <c r="A359">
        <v>2011</v>
      </c>
      <c r="B359" t="s">
        <v>15</v>
      </c>
      <c r="C359">
        <v>17.399999999999999</v>
      </c>
      <c r="D359">
        <v>0.44014999999999999</v>
      </c>
      <c r="E359">
        <v>0.15578</v>
      </c>
      <c r="F359">
        <v>5.7000000000000002E-2</v>
      </c>
      <c r="G359">
        <v>8.4244920000000008</v>
      </c>
      <c r="H359">
        <v>1022</v>
      </c>
    </row>
    <row r="360" spans="1:8" x14ac:dyDescent="0.45">
      <c r="A360">
        <v>2011</v>
      </c>
      <c r="B360" t="s">
        <v>16</v>
      </c>
      <c r="C360">
        <v>1391.2</v>
      </c>
      <c r="D360">
        <v>15.840299999999999</v>
      </c>
      <c r="E360">
        <v>4.7347599999999996</v>
      </c>
      <c r="F360">
        <v>7.0999999999999994E-2</v>
      </c>
      <c r="G360">
        <v>782.31583000000001</v>
      </c>
      <c r="H360">
        <v>64370</v>
      </c>
    </row>
    <row r="361" spans="1:8" x14ac:dyDescent="0.45">
      <c r="A361">
        <v>2011</v>
      </c>
      <c r="B361" t="s">
        <v>17</v>
      </c>
      <c r="C361">
        <v>355</v>
      </c>
      <c r="D361">
        <v>0.77519000000000005</v>
      </c>
      <c r="E361">
        <v>0.20893999999999999</v>
      </c>
      <c r="F361">
        <v>4.8000000000000001E-2</v>
      </c>
      <c r="G361">
        <v>148.70249200000001</v>
      </c>
      <c r="H361">
        <v>4525</v>
      </c>
    </row>
    <row r="362" spans="1:8" x14ac:dyDescent="0.45">
      <c r="A362">
        <v>2011</v>
      </c>
      <c r="B362" t="s">
        <v>18</v>
      </c>
      <c r="C362">
        <v>441.4</v>
      </c>
      <c r="D362">
        <v>20.400700000000001</v>
      </c>
      <c r="E362">
        <v>10.035600000000001</v>
      </c>
      <c r="F362">
        <v>2.6680000000000001</v>
      </c>
      <c r="G362">
        <v>210.60090700000001</v>
      </c>
      <c r="H362">
        <v>40716</v>
      </c>
    </row>
    <row r="363" spans="1:8" x14ac:dyDescent="0.45">
      <c r="A363">
        <v>2011</v>
      </c>
      <c r="B363" t="s">
        <v>19</v>
      </c>
      <c r="C363">
        <v>1261.2</v>
      </c>
      <c r="D363">
        <v>6.6208600000000004</v>
      </c>
      <c r="E363">
        <v>1.1427400000000001</v>
      </c>
      <c r="F363">
        <v>0.51900000000000002</v>
      </c>
      <c r="G363">
        <v>471.891929</v>
      </c>
      <c r="H363">
        <v>18157</v>
      </c>
    </row>
    <row r="364" spans="1:8" x14ac:dyDescent="0.45">
      <c r="A364">
        <v>2011</v>
      </c>
      <c r="B364" t="s">
        <v>20</v>
      </c>
      <c r="C364">
        <v>128.1</v>
      </c>
      <c r="D364">
        <v>5.23698</v>
      </c>
      <c r="E364">
        <v>3.2159800000000001</v>
      </c>
      <c r="F364">
        <v>0.99199999999999999</v>
      </c>
      <c r="G364">
        <v>65.674339000000003</v>
      </c>
      <c r="H364">
        <v>11650</v>
      </c>
    </row>
    <row r="365" spans="1:8" x14ac:dyDescent="0.45">
      <c r="A365">
        <v>2011</v>
      </c>
      <c r="B365" t="s">
        <v>21</v>
      </c>
      <c r="C365">
        <v>121.3</v>
      </c>
      <c r="D365">
        <v>2.30857</v>
      </c>
      <c r="E365">
        <v>0.82633999999999996</v>
      </c>
      <c r="F365">
        <v>0.26500000000000001</v>
      </c>
      <c r="G365">
        <v>41.967174999999997</v>
      </c>
      <c r="H365">
        <v>4598</v>
      </c>
    </row>
    <row r="366" spans="1:8" x14ac:dyDescent="0.45">
      <c r="A366">
        <v>2011</v>
      </c>
      <c r="B366" t="s">
        <v>22</v>
      </c>
      <c r="C366">
        <v>115.2</v>
      </c>
      <c r="D366">
        <v>2.3576100000000002</v>
      </c>
      <c r="E366">
        <v>0.89815</v>
      </c>
      <c r="F366">
        <v>0.26400000000000001</v>
      </c>
      <c r="G366">
        <v>49.262430000000002</v>
      </c>
      <c r="H366">
        <v>4806</v>
      </c>
    </row>
    <row r="367" spans="1:8" x14ac:dyDescent="0.45">
      <c r="A367">
        <v>2011</v>
      </c>
      <c r="B367" t="s">
        <v>23</v>
      </c>
      <c r="C367">
        <v>140.4</v>
      </c>
      <c r="D367">
        <v>0.55461000000000005</v>
      </c>
      <c r="E367">
        <v>0.12361999999999999</v>
      </c>
      <c r="F367">
        <v>5.2999999999999999E-2</v>
      </c>
      <c r="G367">
        <v>53.326534000000002</v>
      </c>
      <c r="H367">
        <v>1814</v>
      </c>
    </row>
    <row r="368" spans="1:8" x14ac:dyDescent="0.45">
      <c r="A368">
        <v>2011</v>
      </c>
      <c r="B368" t="s">
        <v>24</v>
      </c>
      <c r="C368">
        <v>74.400000000000006</v>
      </c>
      <c r="D368">
        <v>1.80467</v>
      </c>
      <c r="E368">
        <v>0.45862999999999998</v>
      </c>
      <c r="F368">
        <v>0.14599999999999999</v>
      </c>
      <c r="G368">
        <v>39.076146000000001</v>
      </c>
      <c r="H368">
        <v>5531</v>
      </c>
    </row>
    <row r="369" spans="1:8" x14ac:dyDescent="0.45">
      <c r="A369">
        <v>2011</v>
      </c>
      <c r="B369" t="s">
        <v>25</v>
      </c>
      <c r="C369">
        <v>214.7</v>
      </c>
      <c r="D369">
        <v>2.3661599999999998</v>
      </c>
      <c r="E369">
        <v>0.54603000000000002</v>
      </c>
      <c r="F369">
        <v>0.14799999999999999</v>
      </c>
      <c r="G369">
        <v>68.313554999999994</v>
      </c>
      <c r="H369">
        <v>4963</v>
      </c>
    </row>
    <row r="370" spans="1:8" x14ac:dyDescent="0.45">
      <c r="A370">
        <v>2011</v>
      </c>
      <c r="B370" t="s">
        <v>26</v>
      </c>
      <c r="C370">
        <v>180.7</v>
      </c>
      <c r="D370">
        <v>4.1791600000000004</v>
      </c>
      <c r="E370">
        <v>1.10955</v>
      </c>
      <c r="F370">
        <v>0.38200000000000001</v>
      </c>
      <c r="G370">
        <v>57.667921999999997</v>
      </c>
      <c r="H370">
        <v>16236</v>
      </c>
    </row>
    <row r="371" spans="1:8" x14ac:dyDescent="0.45">
      <c r="A371">
        <v>2011</v>
      </c>
      <c r="B371" t="s">
        <v>27</v>
      </c>
      <c r="C371">
        <v>49.1</v>
      </c>
      <c r="D371">
        <v>1.9324699999999999</v>
      </c>
      <c r="E371">
        <v>0.84675999999999996</v>
      </c>
      <c r="F371">
        <v>0.38100000000000001</v>
      </c>
      <c r="G371">
        <v>25.497707999999999</v>
      </c>
      <c r="H371">
        <v>5351</v>
      </c>
    </row>
    <row r="372" spans="1:8" x14ac:dyDescent="0.45">
      <c r="A372">
        <v>2011</v>
      </c>
      <c r="B372" t="s">
        <v>28</v>
      </c>
      <c r="C372">
        <v>144</v>
      </c>
      <c r="D372">
        <v>4.9262100000000002</v>
      </c>
      <c r="E372">
        <v>0.93891000000000002</v>
      </c>
      <c r="F372">
        <v>0.29699999999999999</v>
      </c>
      <c r="G372">
        <v>76.202939000000001</v>
      </c>
      <c r="H372">
        <v>16964</v>
      </c>
    </row>
    <row r="373" spans="1:8" x14ac:dyDescent="0.45">
      <c r="A373">
        <v>2011</v>
      </c>
      <c r="B373" t="s">
        <v>29</v>
      </c>
      <c r="C373">
        <v>53</v>
      </c>
      <c r="D373">
        <v>0.76588000000000001</v>
      </c>
      <c r="E373">
        <v>0.26501999999999998</v>
      </c>
      <c r="F373">
        <v>5.8000000000000003E-2</v>
      </c>
      <c r="G373">
        <v>21.097307000000001</v>
      </c>
      <c r="H373">
        <v>2290</v>
      </c>
    </row>
    <row r="374" spans="1:8" x14ac:dyDescent="0.45">
      <c r="A374">
        <v>2011</v>
      </c>
      <c r="B374" t="s">
        <v>30</v>
      </c>
      <c r="C374">
        <v>140.1</v>
      </c>
      <c r="D374">
        <v>1.5015499999999999</v>
      </c>
      <c r="E374">
        <v>0.47358</v>
      </c>
      <c r="F374">
        <v>0.13400000000000001</v>
      </c>
      <c r="G374">
        <v>67.910522999999998</v>
      </c>
      <c r="H374">
        <v>4396</v>
      </c>
    </row>
    <row r="375" spans="1:8" x14ac:dyDescent="0.45">
      <c r="A375">
        <v>2011</v>
      </c>
      <c r="B375" t="s">
        <v>31</v>
      </c>
      <c r="C375">
        <v>636.70000000000005</v>
      </c>
      <c r="D375">
        <v>6.3273400000000004</v>
      </c>
      <c r="E375">
        <v>1.3592200000000001</v>
      </c>
      <c r="F375">
        <v>0.54900000000000004</v>
      </c>
      <c r="G375">
        <v>319.25472200000002</v>
      </c>
      <c r="H375">
        <v>15359</v>
      </c>
    </row>
    <row r="376" spans="1:8" x14ac:dyDescent="0.45">
      <c r="A376">
        <v>2011</v>
      </c>
      <c r="B376" t="s">
        <v>32</v>
      </c>
      <c r="C376">
        <v>7.4</v>
      </c>
      <c r="D376">
        <v>7.0000000000000007E-2</v>
      </c>
      <c r="E376">
        <v>1.9060000000000001E-2</v>
      </c>
      <c r="F376">
        <v>6.0000000000000001E-3</v>
      </c>
      <c r="G376">
        <v>2.8129979999999999</v>
      </c>
      <c r="H376">
        <v>197</v>
      </c>
    </row>
    <row r="377" spans="1:8" x14ac:dyDescent="0.45">
      <c r="A377">
        <v>2011</v>
      </c>
      <c r="B377" t="s">
        <v>33</v>
      </c>
      <c r="C377">
        <v>436.2</v>
      </c>
      <c r="D377">
        <v>1.93903</v>
      </c>
      <c r="E377">
        <v>0.38191000000000003</v>
      </c>
      <c r="F377">
        <v>8.1000000000000003E-2</v>
      </c>
      <c r="G377">
        <v>145.45039399999999</v>
      </c>
      <c r="H377">
        <v>4532</v>
      </c>
    </row>
    <row r="378" spans="1:8" x14ac:dyDescent="0.45">
      <c r="A378">
        <v>2011</v>
      </c>
      <c r="B378" t="s">
        <v>34</v>
      </c>
      <c r="C378">
        <v>7.9</v>
      </c>
      <c r="D378">
        <v>0.59184999999999999</v>
      </c>
      <c r="E378">
        <v>0.41582000000000002</v>
      </c>
      <c r="F378">
        <v>0.16500000000000001</v>
      </c>
      <c r="G378">
        <v>4.5376690000000002</v>
      </c>
      <c r="H378">
        <v>788</v>
      </c>
    </row>
    <row r="379" spans="1:8" x14ac:dyDescent="0.45">
      <c r="A379">
        <v>2011</v>
      </c>
      <c r="B379" t="s">
        <v>35</v>
      </c>
      <c r="C379">
        <v>11</v>
      </c>
      <c r="D379">
        <v>4.274E-2</v>
      </c>
      <c r="E379">
        <v>3.3899999999999998E-3</v>
      </c>
      <c r="F379" s="1">
        <v>8.9999999999999998E-4</v>
      </c>
      <c r="G379">
        <v>3.595129</v>
      </c>
      <c r="H379">
        <v>202</v>
      </c>
    </row>
    <row r="380" spans="1:8" x14ac:dyDescent="0.45">
      <c r="A380">
        <v>2011</v>
      </c>
      <c r="B380" t="s">
        <v>36</v>
      </c>
      <c r="C380">
        <v>63.5</v>
      </c>
      <c r="D380">
        <v>2.98448</v>
      </c>
      <c r="E380">
        <v>2.2453400000000001</v>
      </c>
      <c r="F380">
        <v>0.42299999999999999</v>
      </c>
      <c r="G380">
        <v>32.136046</v>
      </c>
      <c r="H380">
        <v>5194</v>
      </c>
    </row>
    <row r="381" spans="1:8" x14ac:dyDescent="0.45">
      <c r="A381">
        <v>2011</v>
      </c>
      <c r="B381" t="s">
        <v>37</v>
      </c>
      <c r="C381">
        <v>314.10000000000002</v>
      </c>
      <c r="D381">
        <v>18.786899999999999</v>
      </c>
      <c r="E381">
        <v>13.886200000000001</v>
      </c>
      <c r="F381">
        <v>3.0009999999999999</v>
      </c>
      <c r="G381">
        <v>158.53715</v>
      </c>
      <c r="H381">
        <v>59350</v>
      </c>
    </row>
    <row r="382" spans="1:8" x14ac:dyDescent="0.45">
      <c r="A382">
        <v>2011</v>
      </c>
      <c r="B382" t="s">
        <v>38</v>
      </c>
      <c r="C382">
        <v>329.6</v>
      </c>
      <c r="D382">
        <v>1.4307700000000001</v>
      </c>
      <c r="E382">
        <v>0.13056000000000001</v>
      </c>
      <c r="F382">
        <v>3.7999999999999999E-2</v>
      </c>
      <c r="G382">
        <v>136.34127799999999</v>
      </c>
      <c r="H382">
        <v>3368</v>
      </c>
    </row>
    <row r="383" spans="1:8" x14ac:dyDescent="0.45">
      <c r="A383">
        <v>2012</v>
      </c>
      <c r="B383" t="s">
        <v>8</v>
      </c>
      <c r="C383">
        <v>42.2</v>
      </c>
      <c r="D383">
        <v>1.2153499999999999</v>
      </c>
      <c r="E383">
        <v>0.47758</v>
      </c>
      <c r="F383">
        <v>9.4E-2</v>
      </c>
      <c r="G383">
        <v>19.006986000000001</v>
      </c>
      <c r="H383">
        <v>2443</v>
      </c>
    </row>
    <row r="384" spans="1:8" x14ac:dyDescent="0.45">
      <c r="A384">
        <v>2012</v>
      </c>
      <c r="B384" t="s">
        <v>9</v>
      </c>
      <c r="C384">
        <v>27.3</v>
      </c>
      <c r="D384">
        <v>1.42066</v>
      </c>
      <c r="E384">
        <v>1.07829</v>
      </c>
      <c r="F384">
        <v>0.39800000000000002</v>
      </c>
      <c r="G384">
        <v>14.389132</v>
      </c>
      <c r="H384">
        <v>3669</v>
      </c>
    </row>
    <row r="385" spans="1:8" x14ac:dyDescent="0.45">
      <c r="A385">
        <v>2012</v>
      </c>
      <c r="B385" t="s">
        <v>10</v>
      </c>
      <c r="C385">
        <v>196.9</v>
      </c>
      <c r="D385">
        <v>3.7076099999999999</v>
      </c>
      <c r="E385">
        <v>1.4789300000000001</v>
      </c>
      <c r="F385">
        <v>0.36899999999999999</v>
      </c>
      <c r="G385">
        <v>96.690219999999997</v>
      </c>
      <c r="H385">
        <v>6839</v>
      </c>
    </row>
    <row r="386" spans="1:8" x14ac:dyDescent="0.45">
      <c r="A386">
        <v>2012</v>
      </c>
      <c r="B386" t="s">
        <v>11</v>
      </c>
      <c r="C386">
        <v>34.9</v>
      </c>
      <c r="D386">
        <v>1.8757299999999999</v>
      </c>
      <c r="E386">
        <v>1.1565799999999999</v>
      </c>
      <c r="F386">
        <v>0.378</v>
      </c>
      <c r="G386">
        <v>19.332146000000002</v>
      </c>
      <c r="H386">
        <v>7201</v>
      </c>
    </row>
    <row r="387" spans="1:8" x14ac:dyDescent="0.45">
      <c r="A387">
        <v>2012</v>
      </c>
      <c r="B387" t="s">
        <v>12</v>
      </c>
      <c r="C387">
        <v>42.1</v>
      </c>
      <c r="D387">
        <v>0.32429999999999998</v>
      </c>
      <c r="E387">
        <v>0.16067999999999999</v>
      </c>
      <c r="F387">
        <v>2.8000000000000001E-2</v>
      </c>
      <c r="G387">
        <v>16.077275</v>
      </c>
      <c r="H387">
        <v>987</v>
      </c>
    </row>
    <row r="388" spans="1:8" x14ac:dyDescent="0.45">
      <c r="A388">
        <v>2012</v>
      </c>
      <c r="B388" t="s">
        <v>13</v>
      </c>
      <c r="C388">
        <v>44.6</v>
      </c>
      <c r="D388">
        <v>0.49295</v>
      </c>
      <c r="E388">
        <v>0.17355999999999999</v>
      </c>
      <c r="F388">
        <v>4.4999999999999998E-2</v>
      </c>
      <c r="G388">
        <v>18.546703999999998</v>
      </c>
      <c r="H388">
        <v>995</v>
      </c>
    </row>
    <row r="389" spans="1:8" x14ac:dyDescent="0.45">
      <c r="A389">
        <v>2012</v>
      </c>
      <c r="B389" t="s">
        <v>14</v>
      </c>
      <c r="C389">
        <v>85</v>
      </c>
      <c r="D389">
        <v>1.1013599999999999</v>
      </c>
      <c r="E389">
        <v>0.20036000000000001</v>
      </c>
      <c r="F389">
        <v>6.2E-2</v>
      </c>
      <c r="G389">
        <v>37.307518000000002</v>
      </c>
      <c r="H389">
        <v>5143</v>
      </c>
    </row>
    <row r="390" spans="1:8" x14ac:dyDescent="0.45">
      <c r="A390">
        <v>2012</v>
      </c>
      <c r="B390" t="s">
        <v>15</v>
      </c>
      <c r="C390">
        <v>17.5</v>
      </c>
      <c r="D390">
        <v>0.46723999999999999</v>
      </c>
      <c r="E390">
        <v>0.16489999999999999</v>
      </c>
      <c r="F390">
        <v>6.3E-2</v>
      </c>
      <c r="G390">
        <v>8.5390460000000008</v>
      </c>
      <c r="H390">
        <v>1016</v>
      </c>
    </row>
    <row r="391" spans="1:8" x14ac:dyDescent="0.45">
      <c r="A391">
        <v>2012</v>
      </c>
      <c r="B391" t="s">
        <v>16</v>
      </c>
      <c r="C391">
        <v>1400.7</v>
      </c>
      <c r="D391">
        <v>17.060400000000001</v>
      </c>
      <c r="E391">
        <v>5.1004699999999996</v>
      </c>
      <c r="F391">
        <v>7.6999999999999999E-2</v>
      </c>
      <c r="G391">
        <v>783.14806099999998</v>
      </c>
      <c r="H391">
        <v>65187</v>
      </c>
    </row>
    <row r="392" spans="1:8" x14ac:dyDescent="0.45">
      <c r="A392">
        <v>2012</v>
      </c>
      <c r="B392" t="s">
        <v>17</v>
      </c>
      <c r="C392">
        <v>364.9</v>
      </c>
      <c r="D392">
        <v>0.82243999999999995</v>
      </c>
      <c r="E392">
        <v>0.22031999999999999</v>
      </c>
      <c r="F392">
        <v>5.5E-2</v>
      </c>
      <c r="G392">
        <v>153.983788</v>
      </c>
      <c r="H392">
        <v>4694</v>
      </c>
    </row>
    <row r="393" spans="1:8" x14ac:dyDescent="0.45">
      <c r="A393">
        <v>2012</v>
      </c>
      <c r="B393" t="s">
        <v>18</v>
      </c>
      <c r="C393">
        <v>442</v>
      </c>
      <c r="D393">
        <v>20.2471</v>
      </c>
      <c r="E393">
        <v>9.9687999999999999</v>
      </c>
      <c r="F393">
        <v>2.5939999999999999</v>
      </c>
      <c r="G393">
        <v>211.98750000000001</v>
      </c>
      <c r="H393">
        <v>40714</v>
      </c>
    </row>
    <row r="394" spans="1:8" x14ac:dyDescent="0.45">
      <c r="A394">
        <v>2012</v>
      </c>
      <c r="B394" t="s">
        <v>19</v>
      </c>
      <c r="C394">
        <v>1278.7</v>
      </c>
      <c r="D394">
        <v>6.9821200000000001</v>
      </c>
      <c r="E394">
        <v>1.19611</v>
      </c>
      <c r="F394">
        <v>0.54400000000000004</v>
      </c>
      <c r="G394">
        <v>476.10142200000001</v>
      </c>
      <c r="H394">
        <v>18534</v>
      </c>
    </row>
    <row r="395" spans="1:8" x14ac:dyDescent="0.45">
      <c r="A395">
        <v>2012</v>
      </c>
      <c r="B395" t="s">
        <v>20</v>
      </c>
      <c r="C395">
        <v>127.9</v>
      </c>
      <c r="D395">
        <v>5.3089700000000004</v>
      </c>
      <c r="E395">
        <v>3.2783500000000001</v>
      </c>
      <c r="F395">
        <v>1.02</v>
      </c>
      <c r="G395">
        <v>65.377600000000001</v>
      </c>
      <c r="H395">
        <v>11474</v>
      </c>
    </row>
    <row r="396" spans="1:8" x14ac:dyDescent="0.45">
      <c r="A396">
        <v>2012</v>
      </c>
      <c r="B396" t="s">
        <v>21</v>
      </c>
      <c r="C396">
        <v>122.6</v>
      </c>
      <c r="D396">
        <v>2.33969</v>
      </c>
      <c r="E396">
        <v>0.84870000000000001</v>
      </c>
      <c r="F396">
        <v>0.27300000000000002</v>
      </c>
      <c r="G396">
        <v>42.120533999999999</v>
      </c>
      <c r="H396">
        <v>4671</v>
      </c>
    </row>
    <row r="397" spans="1:8" x14ac:dyDescent="0.45">
      <c r="A397">
        <v>2012</v>
      </c>
      <c r="B397" t="s">
        <v>22</v>
      </c>
      <c r="C397">
        <v>116.8</v>
      </c>
      <c r="D397">
        <v>2.4413800000000001</v>
      </c>
      <c r="E397">
        <v>0.91859000000000002</v>
      </c>
      <c r="F397">
        <v>0.27400000000000002</v>
      </c>
      <c r="G397">
        <v>50.764169000000003</v>
      </c>
      <c r="H397">
        <v>4826</v>
      </c>
    </row>
    <row r="398" spans="1:8" x14ac:dyDescent="0.45">
      <c r="A398">
        <v>2012</v>
      </c>
      <c r="B398" t="s">
        <v>23</v>
      </c>
      <c r="C398">
        <v>145.1</v>
      </c>
      <c r="D398">
        <v>0.59669000000000005</v>
      </c>
      <c r="E398">
        <v>0.13383999999999999</v>
      </c>
      <c r="F398">
        <v>0.06</v>
      </c>
      <c r="G398">
        <v>54.534483999999999</v>
      </c>
      <c r="H398">
        <v>1714</v>
      </c>
    </row>
    <row r="399" spans="1:8" x14ac:dyDescent="0.45">
      <c r="A399">
        <v>2012</v>
      </c>
      <c r="B399" t="s">
        <v>24</v>
      </c>
      <c r="C399">
        <v>74.2</v>
      </c>
      <c r="D399">
        <v>1.8201799999999999</v>
      </c>
      <c r="E399">
        <v>0.47455000000000003</v>
      </c>
      <c r="F399">
        <v>0.152</v>
      </c>
      <c r="G399">
        <v>38.962854999999998</v>
      </c>
      <c r="H399">
        <v>5415</v>
      </c>
    </row>
    <row r="400" spans="1:8" x14ac:dyDescent="0.45">
      <c r="A400">
        <v>2012</v>
      </c>
      <c r="B400" t="s">
        <v>25</v>
      </c>
      <c r="C400">
        <v>218.7</v>
      </c>
      <c r="D400">
        <v>2.4466399999999999</v>
      </c>
      <c r="E400">
        <v>0.57708999999999999</v>
      </c>
      <c r="F400">
        <v>0.157</v>
      </c>
      <c r="G400">
        <v>69.019536000000002</v>
      </c>
      <c r="H400">
        <v>5098</v>
      </c>
    </row>
    <row r="401" spans="1:8" x14ac:dyDescent="0.45">
      <c r="A401">
        <v>2012</v>
      </c>
      <c r="B401" t="s">
        <v>26</v>
      </c>
      <c r="C401">
        <v>186</v>
      </c>
      <c r="D401">
        <v>4.3233899999999998</v>
      </c>
      <c r="E401">
        <v>1.15831</v>
      </c>
      <c r="F401">
        <v>0.35599999999999998</v>
      </c>
      <c r="G401">
        <v>60.848818000000001</v>
      </c>
      <c r="H401">
        <v>17080</v>
      </c>
    </row>
    <row r="402" spans="1:8" x14ac:dyDescent="0.45">
      <c r="A402">
        <v>2012</v>
      </c>
      <c r="B402" t="s">
        <v>27</v>
      </c>
      <c r="C402">
        <v>49.6</v>
      </c>
      <c r="D402">
        <v>1.9789000000000001</v>
      </c>
      <c r="E402">
        <v>0.86604000000000003</v>
      </c>
      <c r="F402">
        <v>0.38100000000000001</v>
      </c>
      <c r="G402">
        <v>25.940387999999999</v>
      </c>
      <c r="H402">
        <v>5379</v>
      </c>
    </row>
    <row r="403" spans="1:8" x14ac:dyDescent="0.45">
      <c r="A403">
        <v>2012</v>
      </c>
      <c r="B403" t="s">
        <v>28</v>
      </c>
      <c r="C403">
        <v>144.30000000000001</v>
      </c>
      <c r="D403">
        <v>5.1244500000000004</v>
      </c>
      <c r="E403">
        <v>0.99677000000000004</v>
      </c>
      <c r="F403">
        <v>0.315</v>
      </c>
      <c r="G403">
        <v>76.120942999999997</v>
      </c>
      <c r="H403">
        <v>16982</v>
      </c>
    </row>
    <row r="404" spans="1:8" x14ac:dyDescent="0.45">
      <c r="A404">
        <v>2012</v>
      </c>
      <c r="B404" t="s">
        <v>29</v>
      </c>
      <c r="C404">
        <v>53.8</v>
      </c>
      <c r="D404">
        <v>0.78424000000000005</v>
      </c>
      <c r="E404">
        <v>0.27450999999999998</v>
      </c>
      <c r="F404">
        <v>5.8999999999999997E-2</v>
      </c>
      <c r="G404">
        <v>21.397774999999999</v>
      </c>
      <c r="H404">
        <v>2363</v>
      </c>
    </row>
    <row r="405" spans="1:8" x14ac:dyDescent="0.45">
      <c r="A405">
        <v>2012</v>
      </c>
      <c r="B405" t="s">
        <v>30</v>
      </c>
      <c r="C405">
        <v>141.69999999999999</v>
      </c>
      <c r="D405">
        <v>1.5692600000000001</v>
      </c>
      <c r="E405">
        <v>0.50087000000000004</v>
      </c>
      <c r="F405">
        <v>0.14499999999999999</v>
      </c>
      <c r="G405">
        <v>69.306828999999993</v>
      </c>
      <c r="H405">
        <v>4602</v>
      </c>
    </row>
    <row r="406" spans="1:8" x14ac:dyDescent="0.45">
      <c r="A406">
        <v>2012</v>
      </c>
      <c r="B406" t="s">
        <v>31</v>
      </c>
      <c r="C406">
        <v>644.79999999999995</v>
      </c>
      <c r="D406">
        <v>6.7150100000000004</v>
      </c>
      <c r="E406">
        <v>1.44371</v>
      </c>
      <c r="F406">
        <v>0.60499999999999998</v>
      </c>
      <c r="G406">
        <v>324.779627</v>
      </c>
      <c r="H406">
        <v>15808</v>
      </c>
    </row>
    <row r="407" spans="1:8" x14ac:dyDescent="0.45">
      <c r="A407">
        <v>2012</v>
      </c>
      <c r="B407" t="s">
        <v>32</v>
      </c>
      <c r="C407">
        <v>7.5</v>
      </c>
      <c r="D407">
        <v>7.1989999999999998E-2</v>
      </c>
      <c r="E407">
        <v>2.043E-2</v>
      </c>
      <c r="F407">
        <v>7.0000000000000001E-3</v>
      </c>
      <c r="G407">
        <v>2.8598080000000001</v>
      </c>
      <c r="H407">
        <v>203</v>
      </c>
    </row>
    <row r="408" spans="1:8" x14ac:dyDescent="0.45">
      <c r="A408">
        <v>2012</v>
      </c>
      <c r="B408" t="s">
        <v>33</v>
      </c>
      <c r="C408">
        <v>443.1</v>
      </c>
      <c r="D408">
        <v>2.0430100000000002</v>
      </c>
      <c r="E408">
        <v>0.39623999999999998</v>
      </c>
      <c r="F408">
        <v>8.6999999999999994E-2</v>
      </c>
      <c r="G408">
        <v>148.26910599999999</v>
      </c>
      <c r="H408">
        <v>4583</v>
      </c>
    </row>
    <row r="409" spans="1:8" x14ac:dyDescent="0.45">
      <c r="A409">
        <v>2012</v>
      </c>
      <c r="B409" t="s">
        <v>34</v>
      </c>
      <c r="C409">
        <v>8</v>
      </c>
      <c r="D409">
        <v>0.59882999999999997</v>
      </c>
      <c r="E409">
        <v>0.42332999999999998</v>
      </c>
      <c r="F409">
        <v>0.17299999999999999</v>
      </c>
      <c r="G409">
        <v>4.5955550000000001</v>
      </c>
      <c r="H409">
        <v>817</v>
      </c>
    </row>
    <row r="410" spans="1:8" x14ac:dyDescent="0.45">
      <c r="A410">
        <v>2012</v>
      </c>
      <c r="B410" t="s">
        <v>35</v>
      </c>
      <c r="C410">
        <v>11.3</v>
      </c>
      <c r="D410">
        <v>4.419E-2</v>
      </c>
      <c r="E410">
        <v>3.4099999999999998E-3</v>
      </c>
      <c r="F410" s="1">
        <v>8.9999999999999998E-4</v>
      </c>
      <c r="G410">
        <v>3.699119</v>
      </c>
      <c r="H410">
        <v>200</v>
      </c>
    </row>
    <row r="411" spans="1:8" x14ac:dyDescent="0.45">
      <c r="A411">
        <v>2012</v>
      </c>
      <c r="B411" t="s">
        <v>36</v>
      </c>
      <c r="C411">
        <v>64</v>
      </c>
      <c r="D411">
        <v>3.0295200000000002</v>
      </c>
      <c r="E411">
        <v>2.2828300000000001</v>
      </c>
      <c r="F411">
        <v>0.43</v>
      </c>
      <c r="G411">
        <v>32.468228000000003</v>
      </c>
      <c r="H411">
        <v>5345</v>
      </c>
    </row>
    <row r="412" spans="1:8" x14ac:dyDescent="0.45">
      <c r="A412">
        <v>2012</v>
      </c>
      <c r="B412" t="s">
        <v>37</v>
      </c>
      <c r="C412">
        <v>317.10000000000002</v>
      </c>
      <c r="D412">
        <v>19.216999999999999</v>
      </c>
      <c r="E412">
        <v>14.001200000000001</v>
      </c>
      <c r="F412">
        <v>3.23</v>
      </c>
      <c r="G412">
        <v>159.68275299999999</v>
      </c>
      <c r="H412">
        <v>57605</v>
      </c>
    </row>
    <row r="413" spans="1:8" x14ac:dyDescent="0.45">
      <c r="A413">
        <v>2012</v>
      </c>
      <c r="B413" t="s">
        <v>38</v>
      </c>
      <c r="C413">
        <v>338.9</v>
      </c>
      <c r="D413">
        <v>1.5030300000000001</v>
      </c>
      <c r="E413">
        <v>0.13883000000000001</v>
      </c>
      <c r="F413">
        <v>4.2000000000000003E-2</v>
      </c>
      <c r="G413">
        <v>139.82369299999999</v>
      </c>
      <c r="H413">
        <v>3575</v>
      </c>
    </row>
    <row r="414" spans="1:8" x14ac:dyDescent="0.45">
      <c r="A414">
        <v>2013</v>
      </c>
      <c r="B414" t="s">
        <v>8</v>
      </c>
      <c r="C414">
        <v>42.6</v>
      </c>
      <c r="D414">
        <v>1.2445900000000001</v>
      </c>
      <c r="E414">
        <v>0.49609999999999999</v>
      </c>
      <c r="F414">
        <v>9.6000000000000002E-2</v>
      </c>
      <c r="G414">
        <v>19.111595999999999</v>
      </c>
      <c r="H414">
        <v>2404</v>
      </c>
    </row>
    <row r="415" spans="1:8" x14ac:dyDescent="0.45">
      <c r="A415">
        <v>2013</v>
      </c>
      <c r="B415" t="s">
        <v>9</v>
      </c>
      <c r="C415">
        <v>27.7</v>
      </c>
      <c r="D415">
        <v>1.4576100000000001</v>
      </c>
      <c r="E415">
        <v>1.0973599999999999</v>
      </c>
      <c r="F415">
        <v>0.41099999999999998</v>
      </c>
      <c r="G415">
        <v>14.574272000000001</v>
      </c>
      <c r="H415">
        <v>3715</v>
      </c>
    </row>
    <row r="416" spans="1:8" x14ac:dyDescent="0.45">
      <c r="A416">
        <v>2013</v>
      </c>
      <c r="B416" t="s">
        <v>10</v>
      </c>
      <c r="C416">
        <v>198.5</v>
      </c>
      <c r="D416">
        <v>3.8190200000000001</v>
      </c>
      <c r="E416">
        <v>1.52355</v>
      </c>
      <c r="F416">
        <v>0.39</v>
      </c>
      <c r="G416">
        <v>97.945819999999998</v>
      </c>
      <c r="H416">
        <v>7050</v>
      </c>
    </row>
    <row r="417" spans="1:8" x14ac:dyDescent="0.45">
      <c r="A417">
        <v>2013</v>
      </c>
      <c r="B417" t="s">
        <v>11</v>
      </c>
      <c r="C417">
        <v>35.299999999999997</v>
      </c>
      <c r="D417">
        <v>1.91936</v>
      </c>
      <c r="E417">
        <v>1.1760900000000001</v>
      </c>
      <c r="F417">
        <v>0.38300000000000001</v>
      </c>
      <c r="G417">
        <v>19.544962000000002</v>
      </c>
      <c r="H417">
        <v>7428</v>
      </c>
    </row>
    <row r="418" spans="1:8" x14ac:dyDescent="0.45">
      <c r="A418">
        <v>2013</v>
      </c>
      <c r="B418" t="s">
        <v>12</v>
      </c>
      <c r="C418">
        <v>42.3</v>
      </c>
      <c r="D418">
        <v>0.33478000000000002</v>
      </c>
      <c r="E418">
        <v>0.16491</v>
      </c>
      <c r="F418">
        <v>2.8000000000000001E-2</v>
      </c>
      <c r="G418">
        <v>16.298942</v>
      </c>
      <c r="H418">
        <v>995</v>
      </c>
    </row>
    <row r="419" spans="1:8" x14ac:dyDescent="0.45">
      <c r="A419">
        <v>2013</v>
      </c>
      <c r="B419" t="s">
        <v>13</v>
      </c>
      <c r="C419">
        <v>45.3</v>
      </c>
      <c r="D419">
        <v>0.51190000000000002</v>
      </c>
      <c r="E419">
        <v>0.18013000000000001</v>
      </c>
      <c r="F419">
        <v>4.9000000000000002E-2</v>
      </c>
      <c r="G419">
        <v>18.786049999999999</v>
      </c>
      <c r="H419">
        <v>1001</v>
      </c>
    </row>
    <row r="420" spans="1:8" x14ac:dyDescent="0.45">
      <c r="A420">
        <v>2013</v>
      </c>
      <c r="B420" t="s">
        <v>14</v>
      </c>
      <c r="C420">
        <v>86.3</v>
      </c>
      <c r="D420">
        <v>1.1744699999999999</v>
      </c>
      <c r="E420">
        <v>0.21661</v>
      </c>
      <c r="F420">
        <v>6.5000000000000002E-2</v>
      </c>
      <c r="G420">
        <v>37.705033</v>
      </c>
      <c r="H420">
        <v>5111</v>
      </c>
    </row>
    <row r="421" spans="1:8" x14ac:dyDescent="0.45">
      <c r="A421">
        <v>2013</v>
      </c>
      <c r="B421" t="s">
        <v>15</v>
      </c>
      <c r="C421">
        <v>17.7</v>
      </c>
      <c r="D421">
        <v>0.48270000000000002</v>
      </c>
      <c r="E421">
        <v>0.17302999999999999</v>
      </c>
      <c r="F421">
        <v>6.4000000000000001E-2</v>
      </c>
      <c r="G421">
        <v>8.6671709999999997</v>
      </c>
      <c r="H421">
        <v>1091</v>
      </c>
    </row>
    <row r="422" spans="1:8" x14ac:dyDescent="0.45">
      <c r="A422">
        <v>2013</v>
      </c>
      <c r="B422" t="s">
        <v>16</v>
      </c>
      <c r="C422">
        <v>1410.3</v>
      </c>
      <c r="D422">
        <v>18.3706</v>
      </c>
      <c r="E422">
        <v>5.4575699999999996</v>
      </c>
      <c r="F422">
        <v>7.9000000000000001E-2</v>
      </c>
      <c r="G422">
        <v>783.45520499999998</v>
      </c>
      <c r="H422">
        <v>68646</v>
      </c>
    </row>
    <row r="423" spans="1:8" x14ac:dyDescent="0.45">
      <c r="A423">
        <v>2013</v>
      </c>
      <c r="B423" t="s">
        <v>17</v>
      </c>
      <c r="C423">
        <v>375.1</v>
      </c>
      <c r="D423">
        <v>0.87380999999999998</v>
      </c>
      <c r="E423">
        <v>0.23866999999999999</v>
      </c>
      <c r="F423">
        <v>0.06</v>
      </c>
      <c r="G423">
        <v>158.948846</v>
      </c>
      <c r="H423">
        <v>4871</v>
      </c>
    </row>
    <row r="424" spans="1:8" x14ac:dyDescent="0.45">
      <c r="A424">
        <v>2013</v>
      </c>
      <c r="B424" t="s">
        <v>18</v>
      </c>
      <c r="C424">
        <v>442.4</v>
      </c>
      <c r="D424">
        <v>20.234500000000001</v>
      </c>
      <c r="E424">
        <v>9.9388699999999996</v>
      </c>
      <c r="F424">
        <v>2.544</v>
      </c>
      <c r="G424">
        <v>212.386258</v>
      </c>
      <c r="H424">
        <v>40588</v>
      </c>
    </row>
    <row r="425" spans="1:8" x14ac:dyDescent="0.45">
      <c r="A425">
        <v>2013</v>
      </c>
      <c r="B425" t="s">
        <v>19</v>
      </c>
      <c r="C425">
        <v>1295.8</v>
      </c>
      <c r="D425">
        <v>7.4280099999999996</v>
      </c>
      <c r="E425">
        <v>1.27071</v>
      </c>
      <c r="F425">
        <v>0.55300000000000005</v>
      </c>
      <c r="G425">
        <v>484.53945800000002</v>
      </c>
      <c r="H425">
        <v>20796</v>
      </c>
    </row>
    <row r="426" spans="1:8" x14ac:dyDescent="0.45">
      <c r="A426">
        <v>2013</v>
      </c>
      <c r="B426" t="s">
        <v>20</v>
      </c>
      <c r="C426">
        <v>127.7</v>
      </c>
      <c r="D426">
        <v>5.4154200000000001</v>
      </c>
      <c r="E426">
        <v>3.3542800000000002</v>
      </c>
      <c r="F426">
        <v>1.0620000000000001</v>
      </c>
      <c r="G426">
        <v>65.62115</v>
      </c>
      <c r="H426">
        <v>11481</v>
      </c>
    </row>
    <row r="427" spans="1:8" x14ac:dyDescent="0.45">
      <c r="A427">
        <v>2013</v>
      </c>
      <c r="B427" t="s">
        <v>21</v>
      </c>
      <c r="C427">
        <v>123.9</v>
      </c>
      <c r="D427">
        <v>2.4579200000000001</v>
      </c>
      <c r="E427">
        <v>0.88844999999999996</v>
      </c>
      <c r="F427">
        <v>0.30399999999999999</v>
      </c>
      <c r="G427">
        <v>42.902102999999997</v>
      </c>
      <c r="H427">
        <v>4573</v>
      </c>
    </row>
    <row r="428" spans="1:8" x14ac:dyDescent="0.45">
      <c r="A428">
        <v>2013</v>
      </c>
      <c r="B428" t="s">
        <v>22</v>
      </c>
      <c r="C428">
        <v>118.3</v>
      </c>
      <c r="D428">
        <v>2.46218</v>
      </c>
      <c r="E428">
        <v>0.93988000000000005</v>
      </c>
      <c r="F428">
        <v>0.26300000000000001</v>
      </c>
      <c r="G428">
        <v>51.511392000000001</v>
      </c>
      <c r="H428">
        <v>4834</v>
      </c>
    </row>
    <row r="429" spans="1:8" x14ac:dyDescent="0.45">
      <c r="A429">
        <v>2013</v>
      </c>
      <c r="B429" t="s">
        <v>23</v>
      </c>
      <c r="C429">
        <v>150</v>
      </c>
      <c r="D429">
        <v>0.61892999999999998</v>
      </c>
      <c r="E429">
        <v>0.14651</v>
      </c>
      <c r="F429">
        <v>5.8999999999999997E-2</v>
      </c>
      <c r="G429">
        <v>56.151065000000003</v>
      </c>
      <c r="H429">
        <v>1886</v>
      </c>
    </row>
    <row r="430" spans="1:8" x14ac:dyDescent="0.45">
      <c r="A430">
        <v>2013</v>
      </c>
      <c r="B430" t="s">
        <v>24</v>
      </c>
      <c r="C430">
        <v>74.099999999999994</v>
      </c>
      <c r="D430">
        <v>1.8352200000000001</v>
      </c>
      <c r="E430">
        <v>0.48791000000000001</v>
      </c>
      <c r="F430">
        <v>0.157</v>
      </c>
      <c r="G430">
        <v>38.837707000000002</v>
      </c>
      <c r="H430">
        <v>5354</v>
      </c>
    </row>
    <row r="431" spans="1:8" x14ac:dyDescent="0.45">
      <c r="A431">
        <v>2013</v>
      </c>
      <c r="B431" t="s">
        <v>25</v>
      </c>
      <c r="C431">
        <v>223.2</v>
      </c>
      <c r="D431">
        <v>2.4817</v>
      </c>
      <c r="E431">
        <v>0.60038999999999998</v>
      </c>
      <c r="F431">
        <v>0.158</v>
      </c>
      <c r="G431">
        <v>70.044042000000005</v>
      </c>
      <c r="H431">
        <v>5433</v>
      </c>
    </row>
    <row r="432" spans="1:8" x14ac:dyDescent="0.45">
      <c r="A432">
        <v>2013</v>
      </c>
      <c r="B432" t="s">
        <v>26</v>
      </c>
      <c r="C432">
        <v>191.5</v>
      </c>
      <c r="D432">
        <v>4.43973</v>
      </c>
      <c r="E432">
        <v>1.2197499999999999</v>
      </c>
      <c r="F432">
        <v>0.36599999999999999</v>
      </c>
      <c r="G432">
        <v>63.265836999999998</v>
      </c>
      <c r="H432">
        <v>17705</v>
      </c>
    </row>
    <row r="433" spans="1:8" x14ac:dyDescent="0.45">
      <c r="A433">
        <v>2013</v>
      </c>
      <c r="B433" t="s">
        <v>27</v>
      </c>
      <c r="C433">
        <v>50.1</v>
      </c>
      <c r="D433">
        <v>2.0415299999999998</v>
      </c>
      <c r="E433">
        <v>0.88695000000000002</v>
      </c>
      <c r="F433">
        <v>0.39200000000000002</v>
      </c>
      <c r="G433">
        <v>26.335094000000002</v>
      </c>
      <c r="H433">
        <v>5392</v>
      </c>
    </row>
    <row r="434" spans="1:8" x14ac:dyDescent="0.45">
      <c r="A434">
        <v>2013</v>
      </c>
      <c r="B434" t="s">
        <v>28</v>
      </c>
      <c r="C434">
        <v>144.6</v>
      </c>
      <c r="D434">
        <v>5.2144000000000004</v>
      </c>
      <c r="E434">
        <v>1.0344899999999999</v>
      </c>
      <c r="F434">
        <v>0.32100000000000001</v>
      </c>
      <c r="G434">
        <v>75.891797999999994</v>
      </c>
      <c r="H434">
        <v>15912</v>
      </c>
    </row>
    <row r="435" spans="1:8" x14ac:dyDescent="0.45">
      <c r="A435">
        <v>2013</v>
      </c>
      <c r="B435" t="s">
        <v>29</v>
      </c>
      <c r="C435">
        <v>54.7</v>
      </c>
      <c r="D435">
        <v>0.80373000000000006</v>
      </c>
      <c r="E435">
        <v>0.27978999999999998</v>
      </c>
      <c r="F435">
        <v>6.2E-2</v>
      </c>
      <c r="G435">
        <v>21.921173</v>
      </c>
      <c r="H435">
        <v>2503</v>
      </c>
    </row>
    <row r="436" spans="1:8" x14ac:dyDescent="0.45">
      <c r="A436">
        <v>2013</v>
      </c>
      <c r="B436" t="s">
        <v>30</v>
      </c>
      <c r="C436">
        <v>143.30000000000001</v>
      </c>
      <c r="D436">
        <v>1.6597900000000001</v>
      </c>
      <c r="E436">
        <v>0.52912000000000003</v>
      </c>
      <c r="F436">
        <v>0.158</v>
      </c>
      <c r="G436">
        <v>69.892424000000005</v>
      </c>
      <c r="H436">
        <v>4850</v>
      </c>
    </row>
    <row r="437" spans="1:8" x14ac:dyDescent="0.45">
      <c r="A437">
        <v>2013</v>
      </c>
      <c r="B437" t="s">
        <v>31</v>
      </c>
      <c r="C437">
        <v>652.9</v>
      </c>
      <c r="D437">
        <v>7.05579</v>
      </c>
      <c r="E437">
        <v>1.5144299999999999</v>
      </c>
      <c r="F437">
        <v>0.63700000000000001</v>
      </c>
      <c r="G437">
        <v>327.31546500000002</v>
      </c>
      <c r="H437">
        <v>15559</v>
      </c>
    </row>
    <row r="438" spans="1:8" x14ac:dyDescent="0.45">
      <c r="A438">
        <v>2013</v>
      </c>
      <c r="B438" t="s">
        <v>32</v>
      </c>
      <c r="C438">
        <v>7.6</v>
      </c>
      <c r="D438">
        <v>7.7369999999999994E-2</v>
      </c>
      <c r="E438">
        <v>2.5020000000000001E-2</v>
      </c>
      <c r="F438">
        <v>8.0000000000000002E-3</v>
      </c>
      <c r="G438">
        <v>2.9617089999999999</v>
      </c>
      <c r="H438">
        <v>195</v>
      </c>
    </row>
    <row r="439" spans="1:8" x14ac:dyDescent="0.45">
      <c r="A439">
        <v>2013</v>
      </c>
      <c r="B439" t="s">
        <v>33</v>
      </c>
      <c r="C439">
        <v>449.3</v>
      </c>
      <c r="D439">
        <v>2.14351</v>
      </c>
      <c r="E439">
        <v>0.41177999999999998</v>
      </c>
      <c r="F439">
        <v>0.09</v>
      </c>
      <c r="G439">
        <v>150.55854299999999</v>
      </c>
      <c r="H439">
        <v>4635</v>
      </c>
    </row>
    <row r="440" spans="1:8" x14ac:dyDescent="0.45">
      <c r="A440">
        <v>2013</v>
      </c>
      <c r="B440" t="s">
        <v>34</v>
      </c>
      <c r="C440">
        <v>8.1</v>
      </c>
      <c r="D440">
        <v>0.60956999999999995</v>
      </c>
      <c r="E440">
        <v>0.43254999999999999</v>
      </c>
      <c r="F440">
        <v>0.17499999999999999</v>
      </c>
      <c r="G440">
        <v>4.6531840000000004</v>
      </c>
      <c r="H440">
        <v>836</v>
      </c>
    </row>
    <row r="441" spans="1:8" x14ac:dyDescent="0.45">
      <c r="A441">
        <v>2013</v>
      </c>
      <c r="B441" t="s">
        <v>35</v>
      </c>
      <c r="C441">
        <v>11.5</v>
      </c>
      <c r="D441">
        <v>4.5850000000000002E-2</v>
      </c>
      <c r="E441">
        <v>3.63E-3</v>
      </c>
      <c r="F441" s="1">
        <v>8.9999999999999998E-4</v>
      </c>
      <c r="G441">
        <v>3.8042180000000001</v>
      </c>
      <c r="H441">
        <v>213</v>
      </c>
    </row>
    <row r="442" spans="1:8" x14ac:dyDescent="0.45">
      <c r="A442">
        <v>2013</v>
      </c>
      <c r="B442" t="s">
        <v>36</v>
      </c>
      <c r="C442">
        <v>64.400000000000006</v>
      </c>
      <c r="D442">
        <v>3.08405</v>
      </c>
      <c r="E442">
        <v>2.3278300000000001</v>
      </c>
      <c r="F442">
        <v>0.44400000000000001</v>
      </c>
      <c r="G442">
        <v>32.674256</v>
      </c>
      <c r="H442">
        <v>5373</v>
      </c>
    </row>
    <row r="443" spans="1:8" x14ac:dyDescent="0.45">
      <c r="A443">
        <v>2013</v>
      </c>
      <c r="B443" t="s">
        <v>37</v>
      </c>
      <c r="C443">
        <v>320.10000000000002</v>
      </c>
      <c r="D443">
        <v>19.623999999999999</v>
      </c>
      <c r="E443">
        <v>14.1495</v>
      </c>
      <c r="F443">
        <v>3.3969999999999998</v>
      </c>
      <c r="G443">
        <v>160.132463</v>
      </c>
      <c r="H443">
        <v>60202</v>
      </c>
    </row>
    <row r="444" spans="1:8" x14ac:dyDescent="0.45">
      <c r="A444">
        <v>2013</v>
      </c>
      <c r="B444" t="s">
        <v>38</v>
      </c>
      <c r="C444">
        <v>348.2</v>
      </c>
      <c r="D444">
        <v>1.60361</v>
      </c>
      <c r="E444">
        <v>0.15135000000000001</v>
      </c>
      <c r="F444">
        <v>4.1000000000000002E-2</v>
      </c>
      <c r="G444">
        <v>143.17254199999999</v>
      </c>
      <c r="H444">
        <v>3742</v>
      </c>
    </row>
    <row r="445" spans="1:8" x14ac:dyDescent="0.45">
      <c r="A445">
        <v>2014</v>
      </c>
      <c r="B445" t="s">
        <v>8</v>
      </c>
      <c r="C445">
        <v>43</v>
      </c>
      <c r="D445">
        <v>1.2133100000000001</v>
      </c>
      <c r="E445">
        <v>0.47966999999999999</v>
      </c>
      <c r="F445">
        <v>8.8999999999999996E-2</v>
      </c>
      <c r="G445">
        <v>19.177885</v>
      </c>
      <c r="H445">
        <v>2383</v>
      </c>
    </row>
    <row r="446" spans="1:8" x14ac:dyDescent="0.45">
      <c r="A446">
        <v>2014</v>
      </c>
      <c r="B446" t="s">
        <v>9</v>
      </c>
      <c r="C446">
        <v>28.1</v>
      </c>
      <c r="D446">
        <v>1.4978100000000001</v>
      </c>
      <c r="E446">
        <v>1.1220300000000001</v>
      </c>
      <c r="F446">
        <v>0.40699999999999997</v>
      </c>
      <c r="G446">
        <v>14.795161</v>
      </c>
      <c r="H446">
        <v>3732</v>
      </c>
    </row>
    <row r="447" spans="1:8" x14ac:dyDescent="0.45">
      <c r="A447">
        <v>2014</v>
      </c>
      <c r="B447" t="s">
        <v>10</v>
      </c>
      <c r="C447">
        <v>200.1</v>
      </c>
      <c r="D447">
        <v>3.8382700000000001</v>
      </c>
      <c r="E447">
        <v>1.5527</v>
      </c>
      <c r="F447">
        <v>0.374</v>
      </c>
      <c r="G447">
        <v>98.901550999999998</v>
      </c>
      <c r="H447">
        <v>7344</v>
      </c>
    </row>
    <row r="448" spans="1:8" x14ac:dyDescent="0.45">
      <c r="A448">
        <v>2014</v>
      </c>
      <c r="B448" t="s">
        <v>11</v>
      </c>
      <c r="C448">
        <v>35.6</v>
      </c>
      <c r="D448">
        <v>1.97451</v>
      </c>
      <c r="E448">
        <v>1.19997</v>
      </c>
      <c r="F448">
        <v>0.39200000000000002</v>
      </c>
      <c r="G448">
        <v>19.594830999999999</v>
      </c>
      <c r="H448">
        <v>7554</v>
      </c>
    </row>
    <row r="449" spans="1:8" x14ac:dyDescent="0.45">
      <c r="A449">
        <v>2014</v>
      </c>
      <c r="B449" t="s">
        <v>12</v>
      </c>
      <c r="C449">
        <v>42.6</v>
      </c>
      <c r="D449">
        <v>0.35000999999999999</v>
      </c>
      <c r="E449">
        <v>0.17383999999999999</v>
      </c>
      <c r="F449">
        <v>0.03</v>
      </c>
      <c r="G449">
        <v>16.528459999999999</v>
      </c>
      <c r="H449">
        <v>959</v>
      </c>
    </row>
    <row r="450" spans="1:8" x14ac:dyDescent="0.45">
      <c r="A450">
        <v>2014</v>
      </c>
      <c r="B450" t="s">
        <v>13</v>
      </c>
      <c r="C450">
        <v>46</v>
      </c>
      <c r="D450">
        <v>0.53185000000000004</v>
      </c>
      <c r="E450">
        <v>0.18695999999999999</v>
      </c>
      <c r="F450">
        <v>5.0999999999999997E-2</v>
      </c>
      <c r="G450">
        <v>19.345535999999999</v>
      </c>
      <c r="H450">
        <v>1030</v>
      </c>
    </row>
    <row r="451" spans="1:8" x14ac:dyDescent="0.45">
      <c r="A451">
        <v>2014</v>
      </c>
      <c r="B451" t="s">
        <v>14</v>
      </c>
      <c r="C451">
        <v>87.7</v>
      </c>
      <c r="D451">
        <v>1.23238</v>
      </c>
      <c r="E451">
        <v>0.22642000000000001</v>
      </c>
      <c r="F451">
        <v>6.8000000000000005E-2</v>
      </c>
      <c r="G451">
        <v>38.184573999999998</v>
      </c>
      <c r="H451">
        <v>4786</v>
      </c>
    </row>
    <row r="452" spans="1:8" x14ac:dyDescent="0.45">
      <c r="A452">
        <v>2014</v>
      </c>
      <c r="B452" t="s">
        <v>15</v>
      </c>
      <c r="C452">
        <v>17.899999999999999</v>
      </c>
      <c r="D452">
        <v>0.49136000000000002</v>
      </c>
      <c r="E452">
        <v>0.17766000000000001</v>
      </c>
      <c r="F452">
        <v>6.2E-2</v>
      </c>
      <c r="G452">
        <v>8.8289969999999993</v>
      </c>
      <c r="H452">
        <v>1019</v>
      </c>
    </row>
    <row r="453" spans="1:8" x14ac:dyDescent="0.45">
      <c r="A453">
        <v>2014</v>
      </c>
      <c r="B453" t="s">
        <v>16</v>
      </c>
      <c r="C453">
        <v>1419.4</v>
      </c>
      <c r="D453">
        <v>19.711099999999998</v>
      </c>
      <c r="E453">
        <v>5.8715099999999998</v>
      </c>
      <c r="F453">
        <v>8.2000000000000003E-2</v>
      </c>
      <c r="G453">
        <v>784.612122</v>
      </c>
      <c r="H453">
        <v>71664</v>
      </c>
    </row>
    <row r="454" spans="1:8" x14ac:dyDescent="0.45">
      <c r="A454">
        <v>2014</v>
      </c>
      <c r="B454" t="s">
        <v>17</v>
      </c>
      <c r="C454">
        <v>385.2</v>
      </c>
      <c r="D454">
        <v>0.92842000000000002</v>
      </c>
      <c r="E454">
        <v>0.24962999999999999</v>
      </c>
      <c r="F454">
        <v>6.8000000000000005E-2</v>
      </c>
      <c r="G454">
        <v>161.399686</v>
      </c>
      <c r="H454">
        <v>5046</v>
      </c>
    </row>
    <row r="455" spans="1:8" x14ac:dyDescent="0.45">
      <c r="A455">
        <v>2014</v>
      </c>
      <c r="B455" t="s">
        <v>18</v>
      </c>
      <c r="C455">
        <v>443</v>
      </c>
      <c r="D455">
        <v>20.580400000000001</v>
      </c>
      <c r="E455">
        <v>10.0489</v>
      </c>
      <c r="F455">
        <v>2.601</v>
      </c>
      <c r="G455">
        <v>212.782815</v>
      </c>
      <c r="H455">
        <v>38682</v>
      </c>
    </row>
    <row r="456" spans="1:8" x14ac:dyDescent="0.45">
      <c r="A456">
        <v>2014</v>
      </c>
      <c r="B456" t="s">
        <v>19</v>
      </c>
      <c r="C456">
        <v>1312.3</v>
      </c>
      <c r="D456">
        <v>7.97844</v>
      </c>
      <c r="E456">
        <v>1.35423</v>
      </c>
      <c r="F456">
        <v>0.56699999999999995</v>
      </c>
      <c r="G456">
        <v>492.791763</v>
      </c>
      <c r="H456">
        <v>22362</v>
      </c>
    </row>
    <row r="457" spans="1:8" x14ac:dyDescent="0.45">
      <c r="A457">
        <v>2014</v>
      </c>
      <c r="B457" t="s">
        <v>20</v>
      </c>
      <c r="C457">
        <v>127.5</v>
      </c>
      <c r="D457">
        <v>5.43147</v>
      </c>
      <c r="E457">
        <v>3.33982</v>
      </c>
      <c r="F457">
        <v>1.085</v>
      </c>
      <c r="G457">
        <v>65.843452999999997</v>
      </c>
      <c r="H457">
        <v>11173</v>
      </c>
    </row>
    <row r="458" spans="1:8" x14ac:dyDescent="0.45">
      <c r="A458">
        <v>2014</v>
      </c>
      <c r="B458" t="s">
        <v>21</v>
      </c>
      <c r="C458">
        <v>125.8</v>
      </c>
      <c r="D458">
        <v>2.5523600000000002</v>
      </c>
      <c r="E458">
        <v>0.91644999999999999</v>
      </c>
      <c r="F458">
        <v>0.314</v>
      </c>
      <c r="G458">
        <v>43.310265000000001</v>
      </c>
      <c r="H458">
        <v>4687</v>
      </c>
    </row>
    <row r="459" spans="1:8" x14ac:dyDescent="0.45">
      <c r="A459">
        <v>2014</v>
      </c>
      <c r="B459" t="s">
        <v>22</v>
      </c>
      <c r="C459">
        <v>119.8</v>
      </c>
      <c r="D459">
        <v>2.5238299999999998</v>
      </c>
      <c r="E459">
        <v>0.95894000000000001</v>
      </c>
      <c r="F459">
        <v>0.26900000000000002</v>
      </c>
      <c r="G459">
        <v>51.907743000000004</v>
      </c>
      <c r="H459">
        <v>4768</v>
      </c>
    </row>
    <row r="460" spans="1:8" x14ac:dyDescent="0.45">
      <c r="A460">
        <v>2014</v>
      </c>
      <c r="B460" t="s">
        <v>23</v>
      </c>
      <c r="C460">
        <v>155</v>
      </c>
      <c r="D460">
        <v>0.65105000000000002</v>
      </c>
      <c r="E460">
        <v>0.15307999999999999</v>
      </c>
      <c r="F460">
        <v>6.2E-2</v>
      </c>
      <c r="G460">
        <v>57.801214999999999</v>
      </c>
      <c r="H460">
        <v>1986</v>
      </c>
    </row>
    <row r="461" spans="1:8" x14ac:dyDescent="0.45">
      <c r="A461">
        <v>2014</v>
      </c>
      <c r="B461" t="s">
        <v>24</v>
      </c>
      <c r="C461">
        <v>73.900000000000006</v>
      </c>
      <c r="D461">
        <v>1.7680400000000001</v>
      </c>
      <c r="E461">
        <v>0.48531999999999997</v>
      </c>
      <c r="F461">
        <v>0.151</v>
      </c>
      <c r="G461">
        <v>38.842438000000001</v>
      </c>
      <c r="H461">
        <v>4991</v>
      </c>
    </row>
    <row r="462" spans="1:8" x14ac:dyDescent="0.45">
      <c r="A462">
        <v>2014</v>
      </c>
      <c r="B462" t="s">
        <v>25</v>
      </c>
      <c r="C462">
        <v>227.9</v>
      </c>
      <c r="D462">
        <v>2.53613</v>
      </c>
      <c r="E462">
        <v>0.62551999999999996</v>
      </c>
      <c r="F462">
        <v>0.16500000000000001</v>
      </c>
      <c r="G462">
        <v>70.889347000000001</v>
      </c>
      <c r="H462">
        <v>5126</v>
      </c>
    </row>
    <row r="463" spans="1:8" x14ac:dyDescent="0.45">
      <c r="A463">
        <v>2014</v>
      </c>
      <c r="B463" t="s">
        <v>26</v>
      </c>
      <c r="C463">
        <v>196.7</v>
      </c>
      <c r="D463">
        <v>4.61294</v>
      </c>
      <c r="E463">
        <v>1.28515</v>
      </c>
      <c r="F463">
        <v>0.38800000000000001</v>
      </c>
      <c r="G463">
        <v>65.392683000000005</v>
      </c>
      <c r="H463">
        <v>17704</v>
      </c>
    </row>
    <row r="464" spans="1:8" x14ac:dyDescent="0.45">
      <c r="A464">
        <v>2014</v>
      </c>
      <c r="B464" t="s">
        <v>27</v>
      </c>
      <c r="C464">
        <v>50.5</v>
      </c>
      <c r="D464">
        <v>2.1069100000000001</v>
      </c>
      <c r="E464">
        <v>0.90925</v>
      </c>
      <c r="F464">
        <v>0.40400000000000003</v>
      </c>
      <c r="G464">
        <v>27.115956000000001</v>
      </c>
      <c r="H464">
        <v>5264</v>
      </c>
    </row>
    <row r="465" spans="1:8" x14ac:dyDescent="0.45">
      <c r="A465">
        <v>2014</v>
      </c>
      <c r="B465" t="s">
        <v>28</v>
      </c>
      <c r="C465">
        <v>144.9</v>
      </c>
      <c r="D465">
        <v>5.2527900000000001</v>
      </c>
      <c r="E465">
        <v>1.0436700000000001</v>
      </c>
      <c r="F465">
        <v>0.314</v>
      </c>
      <c r="G465">
        <v>75.752320999999995</v>
      </c>
      <c r="H465">
        <v>16558</v>
      </c>
    </row>
    <row r="466" spans="1:8" x14ac:dyDescent="0.45">
      <c r="A466">
        <v>2014</v>
      </c>
      <c r="B466" t="s">
        <v>29</v>
      </c>
      <c r="C466">
        <v>55.6</v>
      </c>
      <c r="D466">
        <v>0.81508999999999998</v>
      </c>
      <c r="E466">
        <v>0.28259000000000001</v>
      </c>
      <c r="F466">
        <v>6.2E-2</v>
      </c>
      <c r="G466">
        <v>22.295708999999999</v>
      </c>
      <c r="H466">
        <v>2472</v>
      </c>
    </row>
    <row r="467" spans="1:8" x14ac:dyDescent="0.45">
      <c r="A467">
        <v>2014</v>
      </c>
      <c r="B467" t="s">
        <v>30</v>
      </c>
      <c r="C467">
        <v>144.80000000000001</v>
      </c>
      <c r="D467">
        <v>1.72451</v>
      </c>
      <c r="E467">
        <v>0.55266999999999999</v>
      </c>
      <c r="F467">
        <v>0.16400000000000001</v>
      </c>
      <c r="G467">
        <v>70.676181</v>
      </c>
      <c r="H467">
        <v>4909</v>
      </c>
    </row>
    <row r="468" spans="1:8" x14ac:dyDescent="0.45">
      <c r="A468">
        <v>2014</v>
      </c>
      <c r="B468" t="s">
        <v>31</v>
      </c>
      <c r="C468">
        <v>660.5</v>
      </c>
      <c r="D468">
        <v>7.3875700000000002</v>
      </c>
      <c r="E468">
        <v>1.57968</v>
      </c>
      <c r="F468">
        <v>0.66200000000000003</v>
      </c>
      <c r="G468">
        <v>332.50563</v>
      </c>
      <c r="H468">
        <v>15118</v>
      </c>
    </row>
    <row r="469" spans="1:8" x14ac:dyDescent="0.45">
      <c r="A469">
        <v>2014</v>
      </c>
      <c r="B469" t="s">
        <v>32</v>
      </c>
      <c r="C469">
        <v>7.7</v>
      </c>
      <c r="D469">
        <v>8.1199999999999994E-2</v>
      </c>
      <c r="E469">
        <v>2.5569999999999999E-2</v>
      </c>
      <c r="F469">
        <v>8.0000000000000002E-3</v>
      </c>
      <c r="G469">
        <v>2.9858829999999998</v>
      </c>
      <c r="H469">
        <v>200</v>
      </c>
    </row>
    <row r="470" spans="1:8" x14ac:dyDescent="0.45">
      <c r="A470">
        <v>2014</v>
      </c>
      <c r="B470" t="s">
        <v>33</v>
      </c>
      <c r="C470">
        <v>455.4</v>
      </c>
      <c r="D470">
        <v>2.2530000000000001</v>
      </c>
      <c r="E470">
        <v>0.43378</v>
      </c>
      <c r="F470">
        <v>9.8000000000000004E-2</v>
      </c>
      <c r="G470">
        <v>152.21606499999999</v>
      </c>
      <c r="H470">
        <v>4767</v>
      </c>
    </row>
    <row r="471" spans="1:8" x14ac:dyDescent="0.45">
      <c r="A471">
        <v>2014</v>
      </c>
      <c r="B471" t="s">
        <v>34</v>
      </c>
      <c r="C471">
        <v>8.1999999999999993</v>
      </c>
      <c r="D471">
        <v>0.62388999999999994</v>
      </c>
      <c r="E471">
        <v>0.43768000000000001</v>
      </c>
      <c r="F471">
        <v>0.18</v>
      </c>
      <c r="G471">
        <v>4.7391639999999997</v>
      </c>
      <c r="H471">
        <v>766</v>
      </c>
    </row>
    <row r="472" spans="1:8" x14ac:dyDescent="0.45">
      <c r="A472">
        <v>2014</v>
      </c>
      <c r="B472" t="s">
        <v>35</v>
      </c>
      <c r="C472">
        <v>11.8</v>
      </c>
      <c r="D472">
        <v>5.0560000000000001E-2</v>
      </c>
      <c r="E472">
        <v>3.7299999999999998E-3</v>
      </c>
      <c r="F472" s="1">
        <v>8.9999999999999998E-4</v>
      </c>
      <c r="G472">
        <v>3.9014449999999998</v>
      </c>
      <c r="H472">
        <v>221</v>
      </c>
    </row>
    <row r="473" spans="1:8" x14ac:dyDescent="0.45">
      <c r="A473">
        <v>2014</v>
      </c>
      <c r="B473" t="s">
        <v>36</v>
      </c>
      <c r="C473">
        <v>64.900000000000006</v>
      </c>
      <c r="D473">
        <v>3.1825700000000001</v>
      </c>
      <c r="E473">
        <v>2.39011</v>
      </c>
      <c r="F473">
        <v>0.47499999999999998</v>
      </c>
      <c r="G473">
        <v>32.976365000000001</v>
      </c>
      <c r="H473">
        <v>5068</v>
      </c>
    </row>
    <row r="474" spans="1:8" x14ac:dyDescent="0.45">
      <c r="A474">
        <v>2014</v>
      </c>
      <c r="B474" t="s">
        <v>37</v>
      </c>
      <c r="C474">
        <v>323.10000000000002</v>
      </c>
      <c r="D474">
        <v>20.119199999999999</v>
      </c>
      <c r="E474">
        <v>14.4556</v>
      </c>
      <c r="F474">
        <v>3.573</v>
      </c>
      <c r="G474">
        <v>160.87633099999999</v>
      </c>
      <c r="H474">
        <v>60656</v>
      </c>
    </row>
    <row r="475" spans="1:8" x14ac:dyDescent="0.45">
      <c r="A475">
        <v>2014</v>
      </c>
      <c r="B475" t="s">
        <v>38</v>
      </c>
      <c r="C475">
        <v>357.8</v>
      </c>
      <c r="D475">
        <v>1.6971700000000001</v>
      </c>
      <c r="E475">
        <v>0.15509000000000001</v>
      </c>
      <c r="F475">
        <v>4.4999999999999998E-2</v>
      </c>
      <c r="G475">
        <v>146.60081700000001</v>
      </c>
      <c r="H475">
        <v>3811</v>
      </c>
    </row>
    <row r="476" spans="1:8" x14ac:dyDescent="0.45">
      <c r="A476">
        <v>2015</v>
      </c>
      <c r="B476" t="s">
        <v>8</v>
      </c>
      <c r="C476">
        <v>43.5</v>
      </c>
      <c r="D476">
        <v>1.2464500000000001</v>
      </c>
      <c r="E476">
        <v>0.49961</v>
      </c>
      <c r="F476">
        <v>9.2999999999999999E-2</v>
      </c>
      <c r="G476">
        <v>19.343226999999999</v>
      </c>
      <c r="H476">
        <v>2469</v>
      </c>
    </row>
    <row r="477" spans="1:8" x14ac:dyDescent="0.45">
      <c r="A477">
        <v>2015</v>
      </c>
      <c r="B477" t="s">
        <v>9</v>
      </c>
      <c r="C477">
        <v>28.6</v>
      </c>
      <c r="D477">
        <v>1.5336099999999999</v>
      </c>
      <c r="E477">
        <v>1.1520300000000001</v>
      </c>
      <c r="F477">
        <v>0.39500000000000002</v>
      </c>
      <c r="G477">
        <v>15.094856999999999</v>
      </c>
      <c r="H477">
        <v>3717</v>
      </c>
    </row>
    <row r="478" spans="1:8" x14ac:dyDescent="0.45">
      <c r="A478">
        <v>2015</v>
      </c>
      <c r="B478" t="s">
        <v>10</v>
      </c>
      <c r="C478">
        <v>201.7</v>
      </c>
      <c r="D478">
        <v>3.7021700000000002</v>
      </c>
      <c r="E478">
        <v>1.5092000000000001</v>
      </c>
      <c r="F478">
        <v>0.32100000000000001</v>
      </c>
      <c r="G478">
        <v>100.587656</v>
      </c>
      <c r="H478">
        <v>7283</v>
      </c>
    </row>
    <row r="479" spans="1:8" x14ac:dyDescent="0.45">
      <c r="A479">
        <v>2015</v>
      </c>
      <c r="B479" t="s">
        <v>11</v>
      </c>
      <c r="C479">
        <v>36</v>
      </c>
      <c r="D479">
        <v>1.9873400000000001</v>
      </c>
      <c r="E479">
        <v>1.2247699999999999</v>
      </c>
      <c r="F479">
        <v>0.371</v>
      </c>
      <c r="G479">
        <v>19.705946000000001</v>
      </c>
      <c r="H479">
        <v>7429</v>
      </c>
    </row>
    <row r="480" spans="1:8" x14ac:dyDescent="0.45">
      <c r="A480">
        <v>2015</v>
      </c>
      <c r="B480" t="s">
        <v>12</v>
      </c>
      <c r="C480">
        <v>42.8</v>
      </c>
      <c r="D480">
        <v>0.36305999999999999</v>
      </c>
      <c r="E480">
        <v>0.18708</v>
      </c>
      <c r="F480">
        <v>0.04</v>
      </c>
      <c r="G480">
        <v>16.968584</v>
      </c>
      <c r="H480">
        <v>991</v>
      </c>
    </row>
    <row r="481" spans="1:8" x14ac:dyDescent="0.45">
      <c r="A481">
        <v>2015</v>
      </c>
      <c r="B481" t="s">
        <v>13</v>
      </c>
      <c r="C481">
        <v>46.7</v>
      </c>
      <c r="D481">
        <v>0.55362</v>
      </c>
      <c r="E481">
        <v>0.19434000000000001</v>
      </c>
      <c r="F481">
        <v>5.3999999999999999E-2</v>
      </c>
      <c r="G481">
        <v>19.688510999999998</v>
      </c>
      <c r="H481">
        <v>1087</v>
      </c>
    </row>
    <row r="482" spans="1:8" x14ac:dyDescent="0.45">
      <c r="A482">
        <v>2015</v>
      </c>
      <c r="B482" t="s">
        <v>14</v>
      </c>
      <c r="C482">
        <v>89.1</v>
      </c>
      <c r="D482">
        <v>1.2683800000000001</v>
      </c>
      <c r="E482">
        <v>0.27113999999999999</v>
      </c>
      <c r="F482">
        <v>0.106</v>
      </c>
      <c r="G482">
        <v>38.695881</v>
      </c>
      <c r="H482">
        <v>4834</v>
      </c>
    </row>
    <row r="483" spans="1:8" x14ac:dyDescent="0.45">
      <c r="A483">
        <v>2015</v>
      </c>
      <c r="B483" t="s">
        <v>15</v>
      </c>
      <c r="C483">
        <v>18</v>
      </c>
      <c r="D483">
        <v>0.50192999999999999</v>
      </c>
      <c r="E483">
        <v>0.18273</v>
      </c>
      <c r="F483">
        <v>6.2E-2</v>
      </c>
      <c r="G483">
        <v>8.9681010000000008</v>
      </c>
      <c r="H483">
        <v>1044</v>
      </c>
    </row>
    <row r="484" spans="1:8" x14ac:dyDescent="0.45">
      <c r="A484">
        <v>2015</v>
      </c>
      <c r="B484" t="s">
        <v>16</v>
      </c>
      <c r="C484">
        <v>1427.7</v>
      </c>
      <c r="D484">
        <v>21.037400000000002</v>
      </c>
      <c r="E484">
        <v>6.3791900000000004</v>
      </c>
      <c r="F484">
        <v>4.7750000000000004</v>
      </c>
      <c r="G484">
        <v>785.37346400000001</v>
      </c>
      <c r="H484">
        <v>72600</v>
      </c>
    </row>
    <row r="485" spans="1:8" x14ac:dyDescent="0.45">
      <c r="A485">
        <v>2015</v>
      </c>
      <c r="B485" t="s">
        <v>17</v>
      </c>
      <c r="C485">
        <v>395.3</v>
      </c>
      <c r="D485">
        <v>0.98411000000000004</v>
      </c>
      <c r="E485">
        <v>0.27998000000000001</v>
      </c>
      <c r="F485">
        <v>8.4000000000000005E-2</v>
      </c>
      <c r="G485">
        <v>165.04056199999999</v>
      </c>
      <c r="H485">
        <v>5219</v>
      </c>
    </row>
    <row r="486" spans="1:8" x14ac:dyDescent="0.45">
      <c r="A486">
        <v>2015</v>
      </c>
      <c r="B486" t="s">
        <v>18</v>
      </c>
      <c r="C486">
        <v>443.9</v>
      </c>
      <c r="D486">
        <v>21.080300000000001</v>
      </c>
      <c r="E486">
        <v>10.254899999999999</v>
      </c>
      <c r="F486">
        <v>2.7330000000000001</v>
      </c>
      <c r="G486">
        <v>213.313174</v>
      </c>
      <c r="H486">
        <v>39548</v>
      </c>
    </row>
    <row r="487" spans="1:8" x14ac:dyDescent="0.45">
      <c r="A487">
        <v>2015</v>
      </c>
      <c r="B487" t="s">
        <v>19</v>
      </c>
      <c r="C487">
        <v>1328</v>
      </c>
      <c r="D487">
        <v>8.6164199999999997</v>
      </c>
      <c r="E487">
        <v>1.4606399999999999</v>
      </c>
      <c r="F487">
        <v>0.60399999999999998</v>
      </c>
      <c r="G487">
        <v>500.76334500000002</v>
      </c>
      <c r="H487">
        <v>24881</v>
      </c>
    </row>
    <row r="488" spans="1:8" x14ac:dyDescent="0.45">
      <c r="A488">
        <v>2015</v>
      </c>
      <c r="B488" t="s">
        <v>20</v>
      </c>
      <c r="C488">
        <v>127.3</v>
      </c>
      <c r="D488">
        <v>5.5162300000000002</v>
      </c>
      <c r="E488">
        <v>3.3509699999999998</v>
      </c>
      <c r="F488">
        <v>1.1100000000000001</v>
      </c>
      <c r="G488">
        <v>65.931157999999996</v>
      </c>
      <c r="H488">
        <v>10941</v>
      </c>
    </row>
    <row r="489" spans="1:8" x14ac:dyDescent="0.45">
      <c r="A489">
        <v>2015</v>
      </c>
      <c r="B489" t="s">
        <v>21</v>
      </c>
      <c r="C489">
        <v>128</v>
      </c>
      <c r="D489">
        <v>2.67449</v>
      </c>
      <c r="E489">
        <v>0.98900999999999994</v>
      </c>
      <c r="F489">
        <v>0.34499999999999997</v>
      </c>
      <c r="G489">
        <v>44.546708000000002</v>
      </c>
      <c r="H489">
        <v>4968</v>
      </c>
    </row>
    <row r="490" spans="1:8" x14ac:dyDescent="0.45">
      <c r="A490">
        <v>2015</v>
      </c>
      <c r="B490" t="s">
        <v>22</v>
      </c>
      <c r="C490">
        <v>121.1</v>
      </c>
      <c r="D490">
        <v>2.5920299999999998</v>
      </c>
      <c r="E490">
        <v>0.98338000000000003</v>
      </c>
      <c r="F490">
        <v>0.28100000000000003</v>
      </c>
      <c r="G490">
        <v>52.800736000000001</v>
      </c>
      <c r="H490">
        <v>4853</v>
      </c>
    </row>
    <row r="491" spans="1:8" x14ac:dyDescent="0.45">
      <c r="A491">
        <v>2015</v>
      </c>
      <c r="B491" t="s">
        <v>23</v>
      </c>
      <c r="C491">
        <v>160</v>
      </c>
      <c r="D491">
        <v>0.66527999999999998</v>
      </c>
      <c r="E491">
        <v>0.15717</v>
      </c>
      <c r="F491">
        <v>5.8999999999999997E-2</v>
      </c>
      <c r="G491">
        <v>59.474257000000001</v>
      </c>
      <c r="H491">
        <v>2001</v>
      </c>
    </row>
    <row r="492" spans="1:8" x14ac:dyDescent="0.45">
      <c r="A492">
        <v>2015</v>
      </c>
      <c r="B492" t="s">
        <v>24</v>
      </c>
      <c r="C492">
        <v>73.599999999999994</v>
      </c>
      <c r="D492">
        <v>1.7021999999999999</v>
      </c>
      <c r="E492">
        <v>0.48041</v>
      </c>
      <c r="F492">
        <v>0.14399999999999999</v>
      </c>
      <c r="G492">
        <v>38.732405999999997</v>
      </c>
      <c r="H492">
        <v>4498</v>
      </c>
    </row>
    <row r="493" spans="1:8" x14ac:dyDescent="0.45">
      <c r="A493">
        <v>2015</v>
      </c>
      <c r="B493" t="s">
        <v>25</v>
      </c>
      <c r="C493">
        <v>232.7</v>
      </c>
      <c r="D493">
        <v>2.6268799999999999</v>
      </c>
      <c r="E493">
        <v>0.64281999999999995</v>
      </c>
      <c r="F493">
        <v>0.17799999999999999</v>
      </c>
      <c r="G493">
        <v>71.107648999999995</v>
      </c>
      <c r="H493">
        <v>5440</v>
      </c>
    </row>
    <row r="494" spans="1:8" x14ac:dyDescent="0.45">
      <c r="A494">
        <v>2015</v>
      </c>
      <c r="B494" t="s">
        <v>26</v>
      </c>
      <c r="C494">
        <v>201.8</v>
      </c>
      <c r="D494">
        <v>4.7489499999999998</v>
      </c>
      <c r="E494">
        <v>1.3560000000000001</v>
      </c>
      <c r="F494">
        <v>0.42</v>
      </c>
      <c r="G494">
        <v>67.757521999999994</v>
      </c>
      <c r="H494">
        <v>17863</v>
      </c>
    </row>
    <row r="495" spans="1:8" x14ac:dyDescent="0.45">
      <c r="A495">
        <v>2015</v>
      </c>
      <c r="B495" t="s">
        <v>27</v>
      </c>
      <c r="C495">
        <v>51</v>
      </c>
      <c r="D495">
        <v>2.1660900000000001</v>
      </c>
      <c r="E495">
        <v>0.93274999999999997</v>
      </c>
      <c r="F495">
        <v>0.42499999999999999</v>
      </c>
      <c r="G495">
        <v>27.531027999999999</v>
      </c>
      <c r="H495">
        <v>5464</v>
      </c>
    </row>
    <row r="496" spans="1:8" x14ac:dyDescent="0.45">
      <c r="A496">
        <v>2015</v>
      </c>
      <c r="B496" t="s">
        <v>28</v>
      </c>
      <c r="C496">
        <v>145.30000000000001</v>
      </c>
      <c r="D496">
        <v>5.1491699999999998</v>
      </c>
      <c r="E496">
        <v>0.96050999999999997</v>
      </c>
      <c r="F496">
        <v>0.28100000000000003</v>
      </c>
      <c r="G496">
        <v>75.464270999999997</v>
      </c>
      <c r="H496">
        <v>16393</v>
      </c>
    </row>
    <row r="497" spans="1:8" x14ac:dyDescent="0.45">
      <c r="A497">
        <v>2015</v>
      </c>
      <c r="B497" t="s">
        <v>29</v>
      </c>
      <c r="C497">
        <v>56.7</v>
      </c>
      <c r="D497">
        <v>0.82586999999999999</v>
      </c>
      <c r="E497">
        <v>0.28660999999999998</v>
      </c>
      <c r="F497">
        <v>6.2E-2</v>
      </c>
      <c r="G497">
        <v>23.461404999999999</v>
      </c>
      <c r="H497">
        <v>2413</v>
      </c>
    </row>
    <row r="498" spans="1:8" x14ac:dyDescent="0.45">
      <c r="A498">
        <v>2015</v>
      </c>
      <c r="B498" t="s">
        <v>30</v>
      </c>
      <c r="C498">
        <v>146.4</v>
      </c>
      <c r="D498">
        <v>1.76858</v>
      </c>
      <c r="E498">
        <v>0.57267999999999997</v>
      </c>
      <c r="F498">
        <v>0.16</v>
      </c>
      <c r="G498">
        <v>71.826178999999996</v>
      </c>
      <c r="H498">
        <v>4662</v>
      </c>
    </row>
    <row r="499" spans="1:8" x14ac:dyDescent="0.45">
      <c r="A499">
        <v>2015</v>
      </c>
      <c r="B499" t="s">
        <v>31</v>
      </c>
      <c r="C499">
        <v>668</v>
      </c>
      <c r="D499">
        <v>7.7503099999999998</v>
      </c>
      <c r="E499">
        <v>1.6634899999999999</v>
      </c>
      <c r="F499">
        <v>0.7</v>
      </c>
      <c r="G499">
        <v>336.38831599999997</v>
      </c>
      <c r="H499">
        <v>15749</v>
      </c>
    </row>
    <row r="500" spans="1:8" x14ac:dyDescent="0.45">
      <c r="A500">
        <v>2015</v>
      </c>
      <c r="B500" t="s">
        <v>32</v>
      </c>
      <c r="C500">
        <v>7.8</v>
      </c>
      <c r="D500">
        <v>8.0990000000000006E-2</v>
      </c>
      <c r="E500">
        <v>2.724E-2</v>
      </c>
      <c r="F500">
        <v>8.0000000000000002E-3</v>
      </c>
      <c r="G500">
        <v>3.0214629999999998</v>
      </c>
      <c r="H500">
        <v>204</v>
      </c>
    </row>
    <row r="501" spans="1:8" x14ac:dyDescent="0.45">
      <c r="A501">
        <v>2015</v>
      </c>
      <c r="B501" t="s">
        <v>33</v>
      </c>
      <c r="C501">
        <v>461.2</v>
      </c>
      <c r="D501">
        <v>2.36389</v>
      </c>
      <c r="E501">
        <v>0.51312000000000002</v>
      </c>
      <c r="F501">
        <v>0.13200000000000001</v>
      </c>
      <c r="G501">
        <v>156.22740899999999</v>
      </c>
      <c r="H501">
        <v>5031</v>
      </c>
    </row>
    <row r="502" spans="1:8" x14ac:dyDescent="0.45">
      <c r="A502">
        <v>2015</v>
      </c>
      <c r="B502" t="s">
        <v>34</v>
      </c>
      <c r="C502">
        <v>8.3000000000000007</v>
      </c>
      <c r="D502">
        <v>0.63414999999999999</v>
      </c>
      <c r="E502">
        <v>0.44705</v>
      </c>
      <c r="F502">
        <v>0.183</v>
      </c>
      <c r="G502">
        <v>4.8105729999999998</v>
      </c>
      <c r="H502">
        <v>778</v>
      </c>
    </row>
    <row r="503" spans="1:8" x14ac:dyDescent="0.45">
      <c r="A503">
        <v>2015</v>
      </c>
      <c r="B503" t="s">
        <v>35</v>
      </c>
      <c r="C503">
        <v>12.1</v>
      </c>
      <c r="D503">
        <v>5.3490000000000003E-2</v>
      </c>
      <c r="E503">
        <v>2.0580000000000001E-2</v>
      </c>
      <c r="F503">
        <v>6.0000000000000001E-3</v>
      </c>
      <c r="G503">
        <v>4.0073470000000002</v>
      </c>
      <c r="H503">
        <v>228</v>
      </c>
    </row>
    <row r="504" spans="1:8" x14ac:dyDescent="0.45">
      <c r="A504">
        <v>2015</v>
      </c>
      <c r="B504" t="s">
        <v>36</v>
      </c>
      <c r="C504">
        <v>65.400000000000006</v>
      </c>
      <c r="D504">
        <v>3.25332</v>
      </c>
      <c r="E504">
        <v>2.4489700000000001</v>
      </c>
      <c r="F504">
        <v>0.50900000000000001</v>
      </c>
      <c r="G504">
        <v>33.259718999999997</v>
      </c>
      <c r="H504">
        <v>5167</v>
      </c>
    </row>
    <row r="505" spans="1:8" x14ac:dyDescent="0.45">
      <c r="A505">
        <v>2015</v>
      </c>
      <c r="B505" t="s">
        <v>37</v>
      </c>
      <c r="C505">
        <v>326.10000000000002</v>
      </c>
      <c r="D505">
        <v>20.7119</v>
      </c>
      <c r="E505">
        <v>14.901400000000001</v>
      </c>
      <c r="F505">
        <v>3.778</v>
      </c>
      <c r="G505">
        <v>161.92741799999999</v>
      </c>
      <c r="H505">
        <v>60768</v>
      </c>
    </row>
    <row r="506" spans="1:8" x14ac:dyDescent="0.45">
      <c r="A506">
        <v>2015</v>
      </c>
      <c r="B506" t="s">
        <v>38</v>
      </c>
      <c r="C506">
        <v>367.5</v>
      </c>
      <c r="D506">
        <v>1.7509399999999999</v>
      </c>
      <c r="E506">
        <v>0.1615</v>
      </c>
      <c r="F506">
        <v>4.7E-2</v>
      </c>
      <c r="G506">
        <v>150.33801199999999</v>
      </c>
      <c r="H506">
        <v>3792</v>
      </c>
    </row>
    <row r="507" spans="1:8" x14ac:dyDescent="0.45">
      <c r="A507">
        <v>2016</v>
      </c>
      <c r="B507" t="s">
        <v>8</v>
      </c>
      <c r="C507">
        <v>43.9</v>
      </c>
      <c r="D507">
        <v>1.22052</v>
      </c>
      <c r="E507">
        <v>0.49592000000000003</v>
      </c>
      <c r="F507">
        <v>8.6999999999999994E-2</v>
      </c>
      <c r="G507">
        <v>19.497872999999998</v>
      </c>
      <c r="H507">
        <v>2444</v>
      </c>
    </row>
    <row r="508" spans="1:8" x14ac:dyDescent="0.45">
      <c r="A508">
        <v>2016</v>
      </c>
      <c r="B508" t="s">
        <v>9</v>
      </c>
      <c r="C508">
        <v>29</v>
      </c>
      <c r="D508">
        <v>1.5780400000000001</v>
      </c>
      <c r="E508">
        <v>1.1919599999999999</v>
      </c>
      <c r="F508">
        <v>0.38400000000000001</v>
      </c>
      <c r="G508">
        <v>15.379600999999999</v>
      </c>
      <c r="H508">
        <v>3718</v>
      </c>
    </row>
    <row r="509" spans="1:8" x14ac:dyDescent="0.45">
      <c r="A509">
        <v>2016</v>
      </c>
      <c r="B509" t="s">
        <v>10</v>
      </c>
      <c r="C509">
        <v>203.2</v>
      </c>
      <c r="D509">
        <v>3.5808900000000001</v>
      </c>
      <c r="E509">
        <v>1.4657199999999999</v>
      </c>
      <c r="F509">
        <v>0.28199999999999997</v>
      </c>
      <c r="G509">
        <v>101.885554</v>
      </c>
      <c r="H509">
        <v>8960</v>
      </c>
    </row>
    <row r="510" spans="1:8" x14ac:dyDescent="0.45">
      <c r="A510">
        <v>2016</v>
      </c>
      <c r="B510" t="s">
        <v>11</v>
      </c>
      <c r="C510">
        <v>36.4</v>
      </c>
      <c r="D510">
        <v>2.0079799999999999</v>
      </c>
      <c r="E510">
        <v>1.2494799999999999</v>
      </c>
      <c r="F510">
        <v>0.35399999999999998</v>
      </c>
      <c r="G510">
        <v>19.857476999999999</v>
      </c>
      <c r="H510">
        <v>7440</v>
      </c>
    </row>
    <row r="511" spans="1:8" x14ac:dyDescent="0.45">
      <c r="A511">
        <v>2016</v>
      </c>
      <c r="B511" t="s">
        <v>12</v>
      </c>
      <c r="C511">
        <v>43</v>
      </c>
      <c r="D511">
        <v>0.37359999999999999</v>
      </c>
      <c r="E511">
        <v>0.18881000000000001</v>
      </c>
      <c r="F511">
        <v>3.5999999999999997E-2</v>
      </c>
      <c r="G511">
        <v>17.168793000000001</v>
      </c>
      <c r="H511">
        <v>1012</v>
      </c>
    </row>
    <row r="512" spans="1:8" x14ac:dyDescent="0.45">
      <c r="A512">
        <v>2016</v>
      </c>
      <c r="B512" t="s">
        <v>13</v>
      </c>
      <c r="C512">
        <v>47.4</v>
      </c>
      <c r="D512">
        <v>0.57350999999999996</v>
      </c>
      <c r="E512">
        <v>0.20205000000000001</v>
      </c>
      <c r="F512">
        <v>5.5E-2</v>
      </c>
      <c r="G512">
        <v>20.018101999999999</v>
      </c>
      <c r="H512">
        <v>1110</v>
      </c>
    </row>
    <row r="513" spans="1:8" x14ac:dyDescent="0.45">
      <c r="A513">
        <v>2016</v>
      </c>
      <c r="B513" t="s">
        <v>14</v>
      </c>
      <c r="C513">
        <v>90.6</v>
      </c>
      <c r="D513">
        <v>1.2930900000000001</v>
      </c>
      <c r="E513">
        <v>0.24218000000000001</v>
      </c>
      <c r="F513">
        <v>7.3999999999999996E-2</v>
      </c>
      <c r="G513">
        <v>39.142358999999999</v>
      </c>
      <c r="H513">
        <v>4893</v>
      </c>
    </row>
    <row r="514" spans="1:8" x14ac:dyDescent="0.45">
      <c r="A514">
        <v>2016</v>
      </c>
      <c r="B514" t="s">
        <v>15</v>
      </c>
      <c r="C514">
        <v>18.3</v>
      </c>
      <c r="D514">
        <v>0.51073000000000002</v>
      </c>
      <c r="E514">
        <v>0.19017999999999999</v>
      </c>
      <c r="F514">
        <v>0.06</v>
      </c>
      <c r="G514">
        <v>9.1218649999999997</v>
      </c>
      <c r="H514">
        <v>1091</v>
      </c>
    </row>
    <row r="515" spans="1:8" x14ac:dyDescent="0.45">
      <c r="A515">
        <v>2016</v>
      </c>
      <c r="B515" t="s">
        <v>16</v>
      </c>
      <c r="C515">
        <v>1435.7</v>
      </c>
      <c r="D515">
        <v>22.4358</v>
      </c>
      <c r="E515">
        <v>6.8862899999999998</v>
      </c>
      <c r="F515">
        <v>7.9000000000000001E-2</v>
      </c>
      <c r="G515">
        <v>785.25105099999996</v>
      </c>
      <c r="H515">
        <v>73208</v>
      </c>
    </row>
    <row r="516" spans="1:8" x14ac:dyDescent="0.45">
      <c r="A516">
        <v>2016</v>
      </c>
      <c r="B516" t="s">
        <v>17</v>
      </c>
      <c r="C516">
        <v>405.8</v>
      </c>
      <c r="D516">
        <v>1.0392999999999999</v>
      </c>
      <c r="E516">
        <v>0.26483000000000001</v>
      </c>
      <c r="F516">
        <v>8.1000000000000003E-2</v>
      </c>
      <c r="G516">
        <v>168.81948800000001</v>
      </c>
      <c r="H516">
        <v>5361</v>
      </c>
    </row>
    <row r="517" spans="1:8" x14ac:dyDescent="0.45">
      <c r="A517">
        <v>2016</v>
      </c>
      <c r="B517" t="s">
        <v>18</v>
      </c>
      <c r="C517">
        <v>444.9</v>
      </c>
      <c r="D517">
        <v>21.5031</v>
      </c>
      <c r="E517">
        <v>10.4674</v>
      </c>
      <c r="F517">
        <v>2.8149999999999999</v>
      </c>
      <c r="G517">
        <v>214.11844600000001</v>
      </c>
      <c r="H517">
        <v>40291</v>
      </c>
    </row>
    <row r="518" spans="1:8" x14ac:dyDescent="0.45">
      <c r="A518">
        <v>2016</v>
      </c>
      <c r="B518" t="s">
        <v>19</v>
      </c>
      <c r="C518">
        <v>1343.9</v>
      </c>
      <c r="D518">
        <v>9.3278199999999991</v>
      </c>
      <c r="E518">
        <v>1.5748599999999999</v>
      </c>
      <c r="F518">
        <v>0.65600000000000003</v>
      </c>
      <c r="G518">
        <v>508.796784</v>
      </c>
      <c r="H518">
        <v>25327</v>
      </c>
    </row>
    <row r="519" spans="1:8" x14ac:dyDescent="0.45">
      <c r="A519">
        <v>2016</v>
      </c>
      <c r="B519" t="s">
        <v>20</v>
      </c>
      <c r="C519">
        <v>127.2</v>
      </c>
      <c r="D519">
        <v>5.5578099999999999</v>
      </c>
      <c r="E519">
        <v>3.3544700000000001</v>
      </c>
      <c r="F519">
        <v>1.123</v>
      </c>
      <c r="G519">
        <v>66.529155000000003</v>
      </c>
      <c r="H519">
        <v>10798</v>
      </c>
    </row>
    <row r="520" spans="1:8" x14ac:dyDescent="0.45">
      <c r="A520">
        <v>2016</v>
      </c>
      <c r="B520" t="s">
        <v>21</v>
      </c>
      <c r="C520">
        <v>130</v>
      </c>
      <c r="D520">
        <v>2.75576</v>
      </c>
      <c r="E520">
        <v>0.99729000000000001</v>
      </c>
      <c r="F520">
        <v>0.35</v>
      </c>
      <c r="G520">
        <v>45.759334000000003</v>
      </c>
      <c r="H520">
        <v>5118</v>
      </c>
    </row>
    <row r="521" spans="1:8" x14ac:dyDescent="0.45">
      <c r="A521">
        <v>2016</v>
      </c>
      <c r="B521" t="s">
        <v>22</v>
      </c>
      <c r="C521">
        <v>122.3</v>
      </c>
      <c r="D521">
        <v>2.6379700000000001</v>
      </c>
      <c r="E521">
        <v>1.0022599999999999</v>
      </c>
      <c r="F521">
        <v>0.28299999999999997</v>
      </c>
      <c r="G521">
        <v>53.498508999999999</v>
      </c>
      <c r="H521">
        <v>4934</v>
      </c>
    </row>
    <row r="522" spans="1:8" x14ac:dyDescent="0.45">
      <c r="A522">
        <v>2016</v>
      </c>
      <c r="B522" t="s">
        <v>23</v>
      </c>
      <c r="C522">
        <v>165.5</v>
      </c>
      <c r="D522">
        <v>0.65724000000000005</v>
      </c>
      <c r="E522">
        <v>0.15892999999999999</v>
      </c>
      <c r="F522">
        <v>5.1999999999999998E-2</v>
      </c>
      <c r="G522">
        <v>61.332667999999998</v>
      </c>
      <c r="H522">
        <v>1996</v>
      </c>
    </row>
    <row r="523" spans="1:8" x14ac:dyDescent="0.45">
      <c r="A523">
        <v>2016</v>
      </c>
      <c r="B523" t="s">
        <v>24</v>
      </c>
      <c r="C523">
        <v>73.400000000000006</v>
      </c>
      <c r="D523">
        <v>1.73003</v>
      </c>
      <c r="E523">
        <v>0.48547000000000001</v>
      </c>
      <c r="F523">
        <v>0.15</v>
      </c>
      <c r="G523">
        <v>38.699742000000001</v>
      </c>
      <c r="H523">
        <v>4625</v>
      </c>
    </row>
    <row r="524" spans="1:8" x14ac:dyDescent="0.45">
      <c r="A524">
        <v>2016</v>
      </c>
      <c r="B524" t="s">
        <v>25</v>
      </c>
      <c r="C524">
        <v>237.4</v>
      </c>
      <c r="D524">
        <v>2.7164999999999999</v>
      </c>
      <c r="E524">
        <v>0.65968000000000004</v>
      </c>
      <c r="F524">
        <v>0.187</v>
      </c>
      <c r="G524">
        <v>71.785821999999996</v>
      </c>
      <c r="H524">
        <v>5745</v>
      </c>
    </row>
    <row r="525" spans="1:8" x14ac:dyDescent="0.45">
      <c r="A525">
        <v>2016</v>
      </c>
      <c r="B525" t="s">
        <v>26</v>
      </c>
      <c r="C525">
        <v>206.6</v>
      </c>
      <c r="D525">
        <v>5.0097199999999997</v>
      </c>
      <c r="E525">
        <v>1.2819199999999999</v>
      </c>
      <c r="F525">
        <v>0.35699999999999998</v>
      </c>
      <c r="G525">
        <v>70.879925999999998</v>
      </c>
      <c r="H525">
        <v>17739</v>
      </c>
    </row>
    <row r="526" spans="1:8" x14ac:dyDescent="0.45">
      <c r="A526">
        <v>2016</v>
      </c>
      <c r="B526" t="s">
        <v>27</v>
      </c>
      <c r="C526">
        <v>51.3</v>
      </c>
      <c r="D526">
        <v>2.2299199999999999</v>
      </c>
      <c r="E526">
        <v>0.96099000000000001</v>
      </c>
      <c r="F526">
        <v>0.45300000000000001</v>
      </c>
      <c r="G526">
        <v>27.791833</v>
      </c>
      <c r="H526">
        <v>5550</v>
      </c>
    </row>
    <row r="527" spans="1:8" x14ac:dyDescent="0.45">
      <c r="A527">
        <v>2016</v>
      </c>
      <c r="B527" t="s">
        <v>28</v>
      </c>
      <c r="C527">
        <v>145.80000000000001</v>
      </c>
      <c r="D527">
        <v>5.1591399999999998</v>
      </c>
      <c r="E527">
        <v>0.94579000000000002</v>
      </c>
      <c r="F527">
        <v>0.28499999999999998</v>
      </c>
      <c r="G527">
        <v>75.536473999999998</v>
      </c>
      <c r="H527">
        <v>16839</v>
      </c>
    </row>
    <row r="528" spans="1:8" x14ac:dyDescent="0.45">
      <c r="A528">
        <v>2016</v>
      </c>
      <c r="B528" t="s">
        <v>29</v>
      </c>
      <c r="C528">
        <v>57.3</v>
      </c>
      <c r="D528">
        <v>0.83135000000000003</v>
      </c>
      <c r="E528">
        <v>0.28944999999999999</v>
      </c>
      <c r="F528">
        <v>6.0999999999999999E-2</v>
      </c>
      <c r="G528">
        <v>23.788578000000001</v>
      </c>
      <c r="H528">
        <v>2339</v>
      </c>
    </row>
    <row r="529" spans="1:8" x14ac:dyDescent="0.45">
      <c r="A529">
        <v>2016</v>
      </c>
      <c r="B529" t="s">
        <v>30</v>
      </c>
      <c r="C529">
        <v>148</v>
      </c>
      <c r="D529">
        <v>1.81044</v>
      </c>
      <c r="E529">
        <v>0.58028999999999997</v>
      </c>
      <c r="F529">
        <v>0.153</v>
      </c>
      <c r="G529">
        <v>72.88852</v>
      </c>
      <c r="H529">
        <v>4680</v>
      </c>
    </row>
    <row r="530" spans="1:8" x14ac:dyDescent="0.45">
      <c r="A530">
        <v>2016</v>
      </c>
      <c r="B530" t="s">
        <v>31</v>
      </c>
      <c r="C530">
        <v>675.2</v>
      </c>
      <c r="D530">
        <v>8.1404300000000003</v>
      </c>
      <c r="E530">
        <v>1.74135</v>
      </c>
      <c r="F530">
        <v>0.74</v>
      </c>
      <c r="G530">
        <v>339.45794899999999</v>
      </c>
      <c r="H530">
        <v>16113</v>
      </c>
    </row>
    <row r="531" spans="1:8" x14ac:dyDescent="0.45">
      <c r="A531">
        <v>2016</v>
      </c>
      <c r="B531" t="s">
        <v>32</v>
      </c>
      <c r="C531">
        <v>8</v>
      </c>
      <c r="D531">
        <v>8.4260000000000002E-2</v>
      </c>
      <c r="E531">
        <v>2.8879999999999999E-2</v>
      </c>
      <c r="F531">
        <v>8.0000000000000002E-3</v>
      </c>
      <c r="G531">
        <v>3.0591050000000002</v>
      </c>
      <c r="H531">
        <v>208</v>
      </c>
    </row>
    <row r="532" spans="1:8" x14ac:dyDescent="0.45">
      <c r="A532">
        <v>2016</v>
      </c>
      <c r="B532" t="s">
        <v>33</v>
      </c>
      <c r="C532">
        <v>466.7</v>
      </c>
      <c r="D532">
        <v>2.5090699999999999</v>
      </c>
      <c r="E532">
        <v>0.54379999999999995</v>
      </c>
      <c r="F532">
        <v>0.14499999999999999</v>
      </c>
      <c r="G532">
        <v>158.031037</v>
      </c>
      <c r="H532">
        <v>5381</v>
      </c>
    </row>
    <row r="533" spans="1:8" x14ac:dyDescent="0.45">
      <c r="A533">
        <v>2016</v>
      </c>
      <c r="B533" t="s">
        <v>34</v>
      </c>
      <c r="C533">
        <v>8.4</v>
      </c>
      <c r="D533">
        <v>0.64727000000000001</v>
      </c>
      <c r="E533">
        <v>0.45329000000000003</v>
      </c>
      <c r="F533">
        <v>0.188</v>
      </c>
      <c r="G533">
        <v>4.8940950000000001</v>
      </c>
      <c r="H533">
        <v>792</v>
      </c>
    </row>
    <row r="534" spans="1:8" x14ac:dyDescent="0.45">
      <c r="A534">
        <v>2016</v>
      </c>
      <c r="B534" t="s">
        <v>35</v>
      </c>
      <c r="C534">
        <v>12.3</v>
      </c>
      <c r="D534">
        <v>5.6070000000000002E-2</v>
      </c>
      <c r="E534">
        <v>4.0400000000000002E-3</v>
      </c>
      <c r="F534">
        <v>1E-3</v>
      </c>
      <c r="G534">
        <v>4.1141199999999998</v>
      </c>
      <c r="H534">
        <v>228</v>
      </c>
    </row>
    <row r="535" spans="1:8" x14ac:dyDescent="0.45">
      <c r="A535">
        <v>2016</v>
      </c>
      <c r="B535" t="s">
        <v>36</v>
      </c>
      <c r="C535">
        <v>65.900000000000006</v>
      </c>
      <c r="D535">
        <v>3.3158400000000001</v>
      </c>
      <c r="E535">
        <v>2.5221300000000002</v>
      </c>
      <c r="F535">
        <v>0.53500000000000003</v>
      </c>
      <c r="G535">
        <v>33.579397999999998</v>
      </c>
      <c r="H535">
        <v>5217</v>
      </c>
    </row>
    <row r="536" spans="1:8" x14ac:dyDescent="0.45">
      <c r="A536">
        <v>2016</v>
      </c>
      <c r="B536" t="s">
        <v>37</v>
      </c>
      <c r="C536">
        <v>329.2</v>
      </c>
      <c r="D536">
        <v>21.088699999999999</v>
      </c>
      <c r="E536">
        <v>15.249000000000001</v>
      </c>
      <c r="F536">
        <v>3.7919999999999998</v>
      </c>
      <c r="G536">
        <v>163.88645600000001</v>
      </c>
      <c r="H536">
        <v>61104</v>
      </c>
    </row>
    <row r="537" spans="1:8" x14ac:dyDescent="0.45">
      <c r="A537">
        <v>2016</v>
      </c>
      <c r="B537" t="s">
        <v>38</v>
      </c>
      <c r="C537">
        <v>377.3</v>
      </c>
      <c r="D537">
        <v>1.76492</v>
      </c>
      <c r="E537">
        <v>0.16830000000000001</v>
      </c>
      <c r="F537">
        <v>5.3999999999999999E-2</v>
      </c>
      <c r="G537">
        <v>154.805453</v>
      </c>
      <c r="H537">
        <v>3889</v>
      </c>
    </row>
    <row r="538" spans="1:8" x14ac:dyDescent="0.45">
      <c r="A538">
        <v>2017</v>
      </c>
      <c r="B538" t="s">
        <v>8</v>
      </c>
      <c r="C538">
        <v>44.3</v>
      </c>
      <c r="D538">
        <v>1.25492</v>
      </c>
      <c r="E538">
        <v>0.51534999999999997</v>
      </c>
      <c r="F538">
        <v>9.9000000000000005E-2</v>
      </c>
      <c r="G538">
        <v>19.643677</v>
      </c>
      <c r="H538">
        <v>2454</v>
      </c>
    </row>
    <row r="539" spans="1:8" x14ac:dyDescent="0.45">
      <c r="A539">
        <v>2017</v>
      </c>
      <c r="B539" t="s">
        <v>9</v>
      </c>
      <c r="C539">
        <v>29.5</v>
      </c>
      <c r="D539">
        <v>1.6163799999999999</v>
      </c>
      <c r="E539">
        <v>1.2308399999999999</v>
      </c>
      <c r="F539">
        <v>0.38700000000000001</v>
      </c>
      <c r="G539">
        <v>15.755515000000001</v>
      </c>
      <c r="H539">
        <v>3752</v>
      </c>
    </row>
    <row r="540" spans="1:8" x14ac:dyDescent="0.45">
      <c r="A540">
        <v>2017</v>
      </c>
      <c r="B540" t="s">
        <v>10</v>
      </c>
      <c r="C540">
        <v>204.7</v>
      </c>
      <c r="D540">
        <v>3.62826</v>
      </c>
      <c r="E540">
        <v>1.48536</v>
      </c>
      <c r="F540">
        <v>0.27500000000000002</v>
      </c>
      <c r="G540">
        <v>103.47610899999999</v>
      </c>
      <c r="H540">
        <v>9167</v>
      </c>
    </row>
    <row r="541" spans="1:8" x14ac:dyDescent="0.45">
      <c r="A541">
        <v>2017</v>
      </c>
      <c r="B541" t="s">
        <v>11</v>
      </c>
      <c r="C541">
        <v>36.799999999999997</v>
      </c>
      <c r="D541">
        <v>2.0689000000000002</v>
      </c>
      <c r="E541">
        <v>1.29026</v>
      </c>
      <c r="F541">
        <v>0.36599999999999999</v>
      </c>
      <c r="G541">
        <v>20.155417</v>
      </c>
      <c r="H541">
        <v>7711</v>
      </c>
    </row>
    <row r="542" spans="1:8" x14ac:dyDescent="0.45">
      <c r="A542">
        <v>2017</v>
      </c>
      <c r="B542" t="s">
        <v>12</v>
      </c>
      <c r="C542">
        <v>43.2</v>
      </c>
      <c r="D542">
        <v>0.38134000000000001</v>
      </c>
      <c r="E542">
        <v>0.19411</v>
      </c>
      <c r="F542">
        <v>3.5999999999999997E-2</v>
      </c>
      <c r="G542">
        <v>17.354254999999998</v>
      </c>
      <c r="H542">
        <v>1002</v>
      </c>
    </row>
    <row r="543" spans="1:8" x14ac:dyDescent="0.45">
      <c r="A543">
        <v>2017</v>
      </c>
      <c r="B543" t="s">
        <v>13</v>
      </c>
      <c r="C543">
        <v>48.1</v>
      </c>
      <c r="D543">
        <v>0.59658</v>
      </c>
      <c r="E543">
        <v>0.20896999999999999</v>
      </c>
      <c r="F543">
        <v>5.8000000000000003E-2</v>
      </c>
      <c r="G543">
        <v>20.533291999999999</v>
      </c>
      <c r="H543">
        <v>1206</v>
      </c>
    </row>
    <row r="544" spans="1:8" x14ac:dyDescent="0.45">
      <c r="A544">
        <v>2017</v>
      </c>
      <c r="B544" t="s">
        <v>14</v>
      </c>
      <c r="C544">
        <v>92.1</v>
      </c>
      <c r="D544">
        <v>1.3449500000000001</v>
      </c>
      <c r="E544">
        <v>0.24990000000000001</v>
      </c>
      <c r="F544">
        <v>8.1000000000000003E-2</v>
      </c>
      <c r="G544">
        <v>39.477635999999997</v>
      </c>
      <c r="H544">
        <v>5209</v>
      </c>
    </row>
    <row r="545" spans="1:8" x14ac:dyDescent="0.45">
      <c r="A545">
        <v>2017</v>
      </c>
      <c r="B545" t="s">
        <v>15</v>
      </c>
      <c r="C545">
        <v>18.600000000000001</v>
      </c>
      <c r="D545">
        <v>0.51766000000000001</v>
      </c>
      <c r="E545">
        <v>0.19733000000000001</v>
      </c>
      <c r="F545">
        <v>5.8000000000000003E-2</v>
      </c>
      <c r="G545">
        <v>9.4239680000000003</v>
      </c>
      <c r="H545">
        <v>1105</v>
      </c>
    </row>
    <row r="546" spans="1:8" x14ac:dyDescent="0.45">
      <c r="A546">
        <v>2017</v>
      </c>
      <c r="B546" t="s">
        <v>16</v>
      </c>
      <c r="C546">
        <v>1444.1</v>
      </c>
      <c r="D546">
        <v>23.969799999999999</v>
      </c>
      <c r="E546">
        <v>7.3543099999999999</v>
      </c>
      <c r="F546">
        <v>8.1000000000000003E-2</v>
      </c>
      <c r="G546">
        <v>783.51223100000004</v>
      </c>
      <c r="H546">
        <v>74663</v>
      </c>
    </row>
    <row r="547" spans="1:8" x14ac:dyDescent="0.45">
      <c r="A547">
        <v>2017</v>
      </c>
      <c r="B547" t="s">
        <v>17</v>
      </c>
      <c r="C547">
        <v>416.3</v>
      </c>
      <c r="D547">
        <v>1.09806</v>
      </c>
      <c r="E547">
        <v>0.27787000000000001</v>
      </c>
      <c r="F547">
        <v>8.7999999999999995E-2</v>
      </c>
      <c r="G547">
        <v>171.90906799999999</v>
      </c>
      <c r="H547">
        <v>5486</v>
      </c>
    </row>
    <row r="548" spans="1:8" x14ac:dyDescent="0.45">
      <c r="A548">
        <v>2017</v>
      </c>
      <c r="B548" t="s">
        <v>18</v>
      </c>
      <c r="C548">
        <v>445.7</v>
      </c>
      <c r="D548">
        <v>22.138999999999999</v>
      </c>
      <c r="E548">
        <v>10.6709</v>
      </c>
      <c r="F548">
        <v>2.9279999999999999</v>
      </c>
      <c r="G548">
        <v>215.21676099999999</v>
      </c>
      <c r="H548">
        <v>40733</v>
      </c>
    </row>
    <row r="549" spans="1:8" x14ac:dyDescent="0.45">
      <c r="A549">
        <v>2017</v>
      </c>
      <c r="B549" t="s">
        <v>19</v>
      </c>
      <c r="C549">
        <v>1359.7</v>
      </c>
      <c r="D549">
        <v>9.9616799999999994</v>
      </c>
      <c r="E549">
        <v>1.6863900000000001</v>
      </c>
      <c r="F549">
        <v>0.70699999999999996</v>
      </c>
      <c r="G549">
        <v>516.81206499999996</v>
      </c>
      <c r="H549">
        <v>26138</v>
      </c>
    </row>
    <row r="550" spans="1:8" x14ac:dyDescent="0.45">
      <c r="A550">
        <v>2017</v>
      </c>
      <c r="B550" t="s">
        <v>20</v>
      </c>
      <c r="C550">
        <v>127.1</v>
      </c>
      <c r="D550">
        <v>5.6509200000000002</v>
      </c>
      <c r="E550">
        <v>3.3812000000000002</v>
      </c>
      <c r="F550">
        <v>1.141</v>
      </c>
      <c r="G550">
        <v>67.070828000000006</v>
      </c>
      <c r="H550">
        <v>10904</v>
      </c>
    </row>
    <row r="551" spans="1:8" x14ac:dyDescent="0.45">
      <c r="A551">
        <v>2017</v>
      </c>
      <c r="B551" t="s">
        <v>21</v>
      </c>
      <c r="C551">
        <v>131.80000000000001</v>
      </c>
      <c r="D551">
        <v>2.9303499999999998</v>
      </c>
      <c r="E551">
        <v>1.0404199999999999</v>
      </c>
      <c r="F551">
        <v>0.376</v>
      </c>
      <c r="G551">
        <v>47.072391000000003</v>
      </c>
      <c r="H551">
        <v>5613</v>
      </c>
    </row>
    <row r="552" spans="1:8" x14ac:dyDescent="0.45">
      <c r="A552">
        <v>2017</v>
      </c>
      <c r="B552" t="s">
        <v>22</v>
      </c>
      <c r="C552">
        <v>123.4</v>
      </c>
      <c r="D552">
        <v>2.6873499999999999</v>
      </c>
      <c r="E552">
        <v>1.0175700000000001</v>
      </c>
      <c r="F552">
        <v>0.28100000000000003</v>
      </c>
      <c r="G552">
        <v>54.114274000000002</v>
      </c>
      <c r="H552">
        <v>4992</v>
      </c>
    </row>
    <row r="553" spans="1:8" x14ac:dyDescent="0.45">
      <c r="A553">
        <v>2017</v>
      </c>
      <c r="B553" t="s">
        <v>23</v>
      </c>
      <c r="C553">
        <v>171.1</v>
      </c>
      <c r="D553">
        <v>0.66012000000000004</v>
      </c>
      <c r="E553">
        <v>0.15969</v>
      </c>
      <c r="F553">
        <v>5.1999999999999998E-2</v>
      </c>
      <c r="G553">
        <v>63.290970999999999</v>
      </c>
      <c r="H553">
        <v>2019</v>
      </c>
    </row>
    <row r="554" spans="1:8" x14ac:dyDescent="0.45">
      <c r="A554">
        <v>2017</v>
      </c>
      <c r="B554" t="s">
        <v>24</v>
      </c>
      <c r="C554">
        <v>73.2</v>
      </c>
      <c r="D554">
        <v>1.7737700000000001</v>
      </c>
      <c r="E554">
        <v>0.50182000000000004</v>
      </c>
      <c r="F554">
        <v>0.158</v>
      </c>
      <c r="G554">
        <v>38.508232999999997</v>
      </c>
      <c r="H554">
        <v>4644</v>
      </c>
    </row>
    <row r="555" spans="1:8" x14ac:dyDescent="0.45">
      <c r="A555">
        <v>2017</v>
      </c>
      <c r="B555" t="s">
        <v>25</v>
      </c>
      <c r="C555">
        <v>242.4</v>
      </c>
      <c r="D555">
        <v>2.8289900000000001</v>
      </c>
      <c r="E555">
        <v>0.67413999999999996</v>
      </c>
      <c r="F555">
        <v>0.19800000000000001</v>
      </c>
      <c r="G555">
        <v>71.606104999999999</v>
      </c>
      <c r="H555">
        <v>5793</v>
      </c>
    </row>
    <row r="556" spans="1:8" x14ac:dyDescent="0.45">
      <c r="A556">
        <v>2017</v>
      </c>
      <c r="B556" t="s">
        <v>26</v>
      </c>
      <c r="C556">
        <v>210.4</v>
      </c>
      <c r="D556">
        <v>5.0484499999999999</v>
      </c>
      <c r="E556">
        <v>1.3232600000000001</v>
      </c>
      <c r="F556">
        <v>0.35899999999999999</v>
      </c>
      <c r="G556">
        <v>72.233366000000004</v>
      </c>
      <c r="H556">
        <v>18178</v>
      </c>
    </row>
    <row r="557" spans="1:8" x14ac:dyDescent="0.45">
      <c r="A557">
        <v>2017</v>
      </c>
      <c r="B557" t="s">
        <v>27</v>
      </c>
      <c r="C557">
        <v>51.5</v>
      </c>
      <c r="D557">
        <v>2.3003800000000001</v>
      </c>
      <c r="E557">
        <v>0.99034</v>
      </c>
      <c r="F557">
        <v>0.498</v>
      </c>
      <c r="G557">
        <v>28.106594000000001</v>
      </c>
      <c r="H557">
        <v>5693</v>
      </c>
    </row>
    <row r="558" spans="1:8" x14ac:dyDescent="0.45">
      <c r="A558">
        <v>2017</v>
      </c>
      <c r="B558" t="s">
        <v>28</v>
      </c>
      <c r="C558">
        <v>146.19999999999999</v>
      </c>
      <c r="D558">
        <v>5.2533399999999997</v>
      </c>
      <c r="E558">
        <v>0.97794999999999999</v>
      </c>
      <c r="F558">
        <v>0.29799999999999999</v>
      </c>
      <c r="G558">
        <v>74.982425000000006</v>
      </c>
      <c r="H558">
        <v>17500</v>
      </c>
    </row>
    <row r="559" spans="1:8" x14ac:dyDescent="0.45">
      <c r="A559">
        <v>2017</v>
      </c>
      <c r="B559" t="s">
        <v>29</v>
      </c>
      <c r="C559">
        <v>57.6</v>
      </c>
      <c r="D559">
        <v>0.84097999999999995</v>
      </c>
      <c r="E559">
        <v>0.29307</v>
      </c>
      <c r="F559">
        <v>0.06</v>
      </c>
      <c r="G559">
        <v>24.30076</v>
      </c>
      <c r="H559">
        <v>2364</v>
      </c>
    </row>
    <row r="560" spans="1:8" x14ac:dyDescent="0.45">
      <c r="A560">
        <v>2017</v>
      </c>
      <c r="B560" t="s">
        <v>30</v>
      </c>
      <c r="C560">
        <v>149.5</v>
      </c>
      <c r="D560">
        <v>1.8575299999999999</v>
      </c>
      <c r="E560">
        <v>0.59941</v>
      </c>
      <c r="F560">
        <v>0.158</v>
      </c>
      <c r="G560">
        <v>74.200843000000006</v>
      </c>
      <c r="H560">
        <v>4595</v>
      </c>
    </row>
    <row r="561" spans="1:8" x14ac:dyDescent="0.45">
      <c r="A561">
        <v>2017</v>
      </c>
      <c r="B561" t="s">
        <v>31</v>
      </c>
      <c r="C561">
        <v>682.3</v>
      </c>
      <c r="D561">
        <v>8.5819299999999998</v>
      </c>
      <c r="E561">
        <v>1.8125500000000001</v>
      </c>
      <c r="F561">
        <v>0.78200000000000003</v>
      </c>
      <c r="G561">
        <v>342.049711</v>
      </c>
      <c r="H561">
        <v>16959</v>
      </c>
    </row>
    <row r="562" spans="1:8" x14ac:dyDescent="0.45">
      <c r="A562">
        <v>2017</v>
      </c>
      <c r="B562" t="s">
        <v>32</v>
      </c>
      <c r="C562">
        <v>8.1</v>
      </c>
      <c r="D562">
        <v>8.5470000000000004E-2</v>
      </c>
      <c r="E562">
        <v>2.8330000000000001E-2</v>
      </c>
      <c r="F562">
        <v>7.0000000000000001E-3</v>
      </c>
      <c r="G562">
        <v>3.0868570000000002</v>
      </c>
      <c r="H562">
        <v>211</v>
      </c>
    </row>
    <row r="563" spans="1:8" x14ac:dyDescent="0.45">
      <c r="A563">
        <v>2017</v>
      </c>
      <c r="B563" t="s">
        <v>33</v>
      </c>
      <c r="C563">
        <v>472.5</v>
      </c>
      <c r="D563">
        <v>2.6488800000000001</v>
      </c>
      <c r="E563">
        <v>0.57428000000000001</v>
      </c>
      <c r="F563">
        <v>0.159</v>
      </c>
      <c r="G563">
        <v>162.803921</v>
      </c>
      <c r="H563">
        <v>5605</v>
      </c>
    </row>
    <row r="564" spans="1:8" x14ac:dyDescent="0.45">
      <c r="A564">
        <v>2017</v>
      </c>
      <c r="B564" t="s">
        <v>34</v>
      </c>
      <c r="C564">
        <v>8.5</v>
      </c>
      <c r="D564">
        <v>0.65608999999999995</v>
      </c>
      <c r="E564">
        <v>0.45834999999999998</v>
      </c>
      <c r="F564">
        <v>0.19500000000000001</v>
      </c>
      <c r="G564">
        <v>4.9279549999999999</v>
      </c>
      <c r="H564">
        <v>785</v>
      </c>
    </row>
    <row r="565" spans="1:8" x14ac:dyDescent="0.45">
      <c r="A565">
        <v>2017</v>
      </c>
      <c r="B565" t="s">
        <v>35</v>
      </c>
      <c r="C565">
        <v>12.5</v>
      </c>
      <c r="D565">
        <v>5.8180000000000003E-2</v>
      </c>
      <c r="E565">
        <v>4.0899999999999999E-3</v>
      </c>
      <c r="F565">
        <v>1E-3</v>
      </c>
      <c r="G565">
        <v>4.2285579999999996</v>
      </c>
      <c r="H565">
        <v>233</v>
      </c>
    </row>
    <row r="566" spans="1:8" x14ac:dyDescent="0.45">
      <c r="A566">
        <v>2017</v>
      </c>
      <c r="B566" t="s">
        <v>36</v>
      </c>
      <c r="C566">
        <v>66.400000000000006</v>
      </c>
      <c r="D566">
        <v>3.4039199999999998</v>
      </c>
      <c r="E566">
        <v>2.5614599999999998</v>
      </c>
      <c r="F566">
        <v>0.55400000000000005</v>
      </c>
      <c r="G566">
        <v>33.734171000000003</v>
      </c>
      <c r="H566">
        <v>5199</v>
      </c>
    </row>
    <row r="567" spans="1:8" x14ac:dyDescent="0.45">
      <c r="A567">
        <v>2017</v>
      </c>
      <c r="B567" t="s">
        <v>37</v>
      </c>
      <c r="C567">
        <v>332.2</v>
      </c>
      <c r="D567">
        <v>21.606999999999999</v>
      </c>
      <c r="E567">
        <v>15.579499999999999</v>
      </c>
      <c r="F567">
        <v>3.952</v>
      </c>
      <c r="G567">
        <v>165.59731600000001</v>
      </c>
      <c r="H567">
        <v>60918</v>
      </c>
    </row>
    <row r="568" spans="1:8" x14ac:dyDescent="0.45">
      <c r="A568">
        <v>2017</v>
      </c>
      <c r="B568" t="s">
        <v>38</v>
      </c>
      <c r="C568">
        <v>387.3</v>
      </c>
      <c r="D568">
        <v>1.8184</v>
      </c>
      <c r="E568">
        <v>0.17637</v>
      </c>
      <c r="F568">
        <v>5.2999999999999999E-2</v>
      </c>
      <c r="G568">
        <v>158.50227899999999</v>
      </c>
      <c r="H568">
        <v>3627</v>
      </c>
    </row>
    <row r="569" spans="1:8" x14ac:dyDescent="0.45">
      <c r="A569">
        <v>2018</v>
      </c>
      <c r="B569" t="s">
        <v>8</v>
      </c>
      <c r="C569">
        <v>44.7</v>
      </c>
      <c r="D569">
        <v>1.2220800000000001</v>
      </c>
      <c r="E569">
        <v>0.50405999999999995</v>
      </c>
      <c r="F569">
        <v>9.2999999999999999E-2</v>
      </c>
      <c r="G569">
        <v>20.125838000000002</v>
      </c>
      <c r="H569">
        <v>2360</v>
      </c>
    </row>
    <row r="570" spans="1:8" x14ac:dyDescent="0.45">
      <c r="A570">
        <v>2018</v>
      </c>
      <c r="B570" t="s">
        <v>9</v>
      </c>
      <c r="C570">
        <v>30</v>
      </c>
      <c r="D570">
        <v>1.66422</v>
      </c>
      <c r="E570">
        <v>1.26986</v>
      </c>
      <c r="F570">
        <v>0.40600000000000003</v>
      </c>
      <c r="G570">
        <v>16.114718</v>
      </c>
      <c r="H570">
        <v>3798</v>
      </c>
    </row>
    <row r="571" spans="1:8" x14ac:dyDescent="0.45">
      <c r="A571">
        <v>2018</v>
      </c>
      <c r="B571" t="s">
        <v>10</v>
      </c>
      <c r="C571">
        <v>206.1</v>
      </c>
      <c r="D571">
        <v>3.6929799999999999</v>
      </c>
      <c r="E571">
        <v>1.51492</v>
      </c>
      <c r="F571">
        <v>0.28999999999999998</v>
      </c>
      <c r="G571">
        <v>104.554923</v>
      </c>
      <c r="H571">
        <v>9011</v>
      </c>
    </row>
    <row r="572" spans="1:8" x14ac:dyDescent="0.45">
      <c r="A572">
        <v>2018</v>
      </c>
      <c r="B572" t="s">
        <v>11</v>
      </c>
      <c r="C572">
        <v>37.299999999999997</v>
      </c>
      <c r="D572">
        <v>2.1256499999999998</v>
      </c>
      <c r="E572">
        <v>1.32605</v>
      </c>
      <c r="F572">
        <v>0.374</v>
      </c>
      <c r="G572">
        <v>20.39134</v>
      </c>
      <c r="H572">
        <v>7960</v>
      </c>
    </row>
    <row r="573" spans="1:8" x14ac:dyDescent="0.45">
      <c r="A573">
        <v>2018</v>
      </c>
      <c r="B573" t="s">
        <v>12</v>
      </c>
      <c r="C573">
        <v>43.4</v>
      </c>
      <c r="D573">
        <v>0.39829999999999999</v>
      </c>
      <c r="E573">
        <v>0.19989999999999999</v>
      </c>
      <c r="F573">
        <v>3.9E-2</v>
      </c>
      <c r="G573">
        <v>17.614984</v>
      </c>
      <c r="H573">
        <v>1036</v>
      </c>
    </row>
    <row r="574" spans="1:8" x14ac:dyDescent="0.45">
      <c r="A574">
        <v>2018</v>
      </c>
      <c r="B574" t="s">
        <v>13</v>
      </c>
      <c r="C574">
        <v>48.7</v>
      </c>
      <c r="D574">
        <v>0.61307</v>
      </c>
      <c r="E574">
        <v>0.21482000000000001</v>
      </c>
      <c r="F574">
        <v>5.8999999999999997E-2</v>
      </c>
      <c r="G574">
        <v>21.188089000000002</v>
      </c>
      <c r="H574">
        <v>1217</v>
      </c>
    </row>
    <row r="575" spans="1:8" x14ac:dyDescent="0.45">
      <c r="A575">
        <v>2018</v>
      </c>
      <c r="B575" t="s">
        <v>14</v>
      </c>
      <c r="C575">
        <v>93.5</v>
      </c>
      <c r="D575">
        <v>1.4049499999999999</v>
      </c>
      <c r="E575">
        <v>0.26007000000000002</v>
      </c>
      <c r="F575">
        <v>9.0999999999999998E-2</v>
      </c>
      <c r="G575">
        <v>39.909686999999998</v>
      </c>
      <c r="H575">
        <v>5131</v>
      </c>
    </row>
    <row r="576" spans="1:8" x14ac:dyDescent="0.45">
      <c r="A576">
        <v>2018</v>
      </c>
      <c r="B576" t="s">
        <v>15</v>
      </c>
      <c r="C576">
        <v>18.899999999999999</v>
      </c>
      <c r="D576">
        <v>0.53832000000000002</v>
      </c>
      <c r="E576">
        <v>0.20452999999999999</v>
      </c>
      <c r="F576">
        <v>6.2E-2</v>
      </c>
      <c r="G576">
        <v>9.6718879999999992</v>
      </c>
      <c r="H576">
        <v>1148</v>
      </c>
    </row>
    <row r="577" spans="1:8" x14ac:dyDescent="0.45">
      <c r="A577">
        <v>2018</v>
      </c>
      <c r="B577" t="s">
        <v>16</v>
      </c>
      <c r="C577">
        <v>1450.8</v>
      </c>
      <c r="D577">
        <v>25.57</v>
      </c>
      <c r="E577">
        <v>7.92828</v>
      </c>
      <c r="F577">
        <v>8.1000000000000003E-2</v>
      </c>
      <c r="G577">
        <v>781.263195</v>
      </c>
      <c r="H577">
        <v>77057</v>
      </c>
    </row>
    <row r="578" spans="1:8" x14ac:dyDescent="0.45">
      <c r="A578">
        <v>2018</v>
      </c>
      <c r="B578" t="s">
        <v>17</v>
      </c>
      <c r="C578">
        <v>427.4</v>
      </c>
      <c r="D578">
        <v>1.1585099999999999</v>
      </c>
      <c r="E578">
        <v>0.28545999999999999</v>
      </c>
      <c r="F578">
        <v>9.0999999999999998E-2</v>
      </c>
      <c r="G578">
        <v>176.73331099999999</v>
      </c>
      <c r="H578">
        <v>5574</v>
      </c>
    </row>
    <row r="579" spans="1:8" x14ac:dyDescent="0.45">
      <c r="A579">
        <v>2018</v>
      </c>
      <c r="B579" t="s">
        <v>18</v>
      </c>
      <c r="C579">
        <v>446.5</v>
      </c>
      <c r="D579">
        <v>22.640799999999999</v>
      </c>
      <c r="E579">
        <v>10.847899999999999</v>
      </c>
      <c r="F579">
        <v>3.036</v>
      </c>
      <c r="G579">
        <v>216.09275</v>
      </c>
      <c r="H579">
        <v>40874</v>
      </c>
    </row>
    <row r="580" spans="1:8" x14ac:dyDescent="0.45">
      <c r="A580">
        <v>2018</v>
      </c>
      <c r="B580" t="s">
        <v>19</v>
      </c>
      <c r="C580">
        <v>1374.7</v>
      </c>
      <c r="D580">
        <v>10.6046</v>
      </c>
      <c r="E580">
        <v>1.8049200000000001</v>
      </c>
      <c r="F580">
        <v>0.78600000000000003</v>
      </c>
      <c r="G580">
        <v>524.34281799999997</v>
      </c>
      <c r="H580">
        <v>26760</v>
      </c>
    </row>
    <row r="581" spans="1:8" x14ac:dyDescent="0.45">
      <c r="A581">
        <v>2018</v>
      </c>
      <c r="B581" t="s">
        <v>20</v>
      </c>
      <c r="C581">
        <v>126.9</v>
      </c>
      <c r="D581">
        <v>5.6872800000000003</v>
      </c>
      <c r="E581">
        <v>3.3959199999999998</v>
      </c>
      <c r="F581">
        <v>1.1479999999999999</v>
      </c>
      <c r="G581">
        <v>68.187090999999995</v>
      </c>
      <c r="H581">
        <v>10699</v>
      </c>
    </row>
    <row r="582" spans="1:8" x14ac:dyDescent="0.45">
      <c r="A582">
        <v>2018</v>
      </c>
      <c r="B582" t="s">
        <v>21</v>
      </c>
      <c r="C582">
        <v>133.80000000000001</v>
      </c>
      <c r="D582">
        <v>3.0143800000000001</v>
      </c>
      <c r="E582">
        <v>1.0589999999999999</v>
      </c>
      <c r="F582">
        <v>0.38400000000000001</v>
      </c>
      <c r="G582">
        <v>48.084648999999999</v>
      </c>
      <c r="H582">
        <v>5542</v>
      </c>
    </row>
    <row r="583" spans="1:8" x14ac:dyDescent="0.45">
      <c r="A583">
        <v>2018</v>
      </c>
      <c r="B583" t="s">
        <v>22</v>
      </c>
      <c r="C583">
        <v>124.6</v>
      </c>
      <c r="D583">
        <v>2.7403400000000002</v>
      </c>
      <c r="E583">
        <v>1.03474</v>
      </c>
      <c r="F583">
        <v>0.28299999999999997</v>
      </c>
      <c r="G583">
        <v>55.142829999999996</v>
      </c>
      <c r="H583">
        <v>4762</v>
      </c>
    </row>
    <row r="584" spans="1:8" x14ac:dyDescent="0.45">
      <c r="A584">
        <v>2018</v>
      </c>
      <c r="B584" t="s">
        <v>23</v>
      </c>
      <c r="C584">
        <v>176.7</v>
      </c>
      <c r="D584">
        <v>0.66722000000000004</v>
      </c>
      <c r="E584">
        <v>0.16037000000000001</v>
      </c>
      <c r="F584">
        <v>5.7000000000000002E-2</v>
      </c>
      <c r="G584">
        <v>65.148510000000002</v>
      </c>
      <c r="H584">
        <v>2076</v>
      </c>
    </row>
    <row r="585" spans="1:8" x14ac:dyDescent="0.45">
      <c r="A585">
        <v>2018</v>
      </c>
      <c r="B585" t="s">
        <v>24</v>
      </c>
      <c r="C585">
        <v>72.8</v>
      </c>
      <c r="D585">
        <v>1.82477</v>
      </c>
      <c r="E585">
        <v>0.51697000000000004</v>
      </c>
      <c r="F585">
        <v>0.16600000000000001</v>
      </c>
      <c r="G585">
        <v>38.351286999999999</v>
      </c>
      <c r="H585">
        <v>4779</v>
      </c>
    </row>
    <row r="586" spans="1:8" x14ac:dyDescent="0.45">
      <c r="A586">
        <v>2018</v>
      </c>
      <c r="B586" t="s">
        <v>25</v>
      </c>
      <c r="C586">
        <v>247.4</v>
      </c>
      <c r="D586">
        <v>2.9323700000000001</v>
      </c>
      <c r="E586">
        <v>0.68513000000000002</v>
      </c>
      <c r="F586">
        <v>0.20200000000000001</v>
      </c>
      <c r="G586">
        <v>71.873886999999996</v>
      </c>
      <c r="H586">
        <v>6170</v>
      </c>
    </row>
    <row r="587" spans="1:8" x14ac:dyDescent="0.45">
      <c r="A587">
        <v>2018</v>
      </c>
      <c r="B587" t="s">
        <v>26</v>
      </c>
      <c r="C587">
        <v>213.4</v>
      </c>
      <c r="D587">
        <v>5.1195399999999998</v>
      </c>
      <c r="E587">
        <v>1.3513299999999999</v>
      </c>
      <c r="F587">
        <v>0.34799999999999998</v>
      </c>
      <c r="G587">
        <v>73.084948999999995</v>
      </c>
      <c r="H587">
        <v>18048</v>
      </c>
    </row>
    <row r="588" spans="1:8" x14ac:dyDescent="0.45">
      <c r="A588">
        <v>2018</v>
      </c>
      <c r="B588" t="s">
        <v>27</v>
      </c>
      <c r="C588">
        <v>51.6</v>
      </c>
      <c r="D588">
        <v>2.3672599999999999</v>
      </c>
      <c r="E588">
        <v>1.02705</v>
      </c>
      <c r="F588">
        <v>0.48699999999999999</v>
      </c>
      <c r="G588">
        <v>28.257878999999999</v>
      </c>
      <c r="H588">
        <v>5742</v>
      </c>
    </row>
    <row r="589" spans="1:8" x14ac:dyDescent="0.45">
      <c r="A589">
        <v>2018</v>
      </c>
      <c r="B589" t="s">
        <v>28</v>
      </c>
      <c r="C589">
        <v>146.4</v>
      </c>
      <c r="D589">
        <v>5.4008099999999999</v>
      </c>
      <c r="E589">
        <v>1.01183</v>
      </c>
      <c r="F589">
        <v>0.3</v>
      </c>
      <c r="G589">
        <v>74.87312</v>
      </c>
      <c r="H589">
        <v>18929</v>
      </c>
    </row>
    <row r="590" spans="1:8" x14ac:dyDescent="0.45">
      <c r="A590">
        <v>2018</v>
      </c>
      <c r="B590" t="s">
        <v>29</v>
      </c>
      <c r="C590">
        <v>58.6</v>
      </c>
      <c r="D590">
        <v>0.85407</v>
      </c>
      <c r="E590">
        <v>0.30095</v>
      </c>
      <c r="F590">
        <v>5.8999999999999997E-2</v>
      </c>
      <c r="G590">
        <v>24.580984000000001</v>
      </c>
      <c r="H590">
        <v>2533</v>
      </c>
    </row>
    <row r="591" spans="1:8" x14ac:dyDescent="0.45">
      <c r="A591">
        <v>2018</v>
      </c>
      <c r="B591" t="s">
        <v>30</v>
      </c>
      <c r="C591">
        <v>150.80000000000001</v>
      </c>
      <c r="D591">
        <v>1.9087000000000001</v>
      </c>
      <c r="E591">
        <v>0.62077000000000004</v>
      </c>
      <c r="F591">
        <v>0.16</v>
      </c>
      <c r="G591">
        <v>74.805329999999998</v>
      </c>
      <c r="H591">
        <v>4603</v>
      </c>
    </row>
    <row r="592" spans="1:8" x14ac:dyDescent="0.45">
      <c r="A592">
        <v>2018</v>
      </c>
      <c r="B592" t="s">
        <v>31</v>
      </c>
      <c r="C592">
        <v>688.9</v>
      </c>
      <c r="D592">
        <v>9.0363600000000002</v>
      </c>
      <c r="E592">
        <v>1.91262</v>
      </c>
      <c r="F592">
        <v>0.82599999999999996</v>
      </c>
      <c r="G592">
        <v>348.881167</v>
      </c>
      <c r="H592">
        <v>17679</v>
      </c>
    </row>
    <row r="593" spans="1:8" x14ac:dyDescent="0.45">
      <c r="A593">
        <v>2018</v>
      </c>
      <c r="B593" t="s">
        <v>32</v>
      </c>
      <c r="C593">
        <v>8.1999999999999993</v>
      </c>
      <c r="D593">
        <v>8.7359999999999993E-2</v>
      </c>
      <c r="E593">
        <v>2.8760000000000001E-2</v>
      </c>
      <c r="F593">
        <v>7.0000000000000001E-3</v>
      </c>
      <c r="G593">
        <v>3.1171690000000001</v>
      </c>
      <c r="H593">
        <v>215</v>
      </c>
    </row>
    <row r="594" spans="1:8" x14ac:dyDescent="0.45">
      <c r="A594">
        <v>2018</v>
      </c>
      <c r="B594" t="s">
        <v>33</v>
      </c>
      <c r="C594">
        <v>478.8</v>
      </c>
      <c r="D594">
        <v>2.8075899999999998</v>
      </c>
      <c r="E594">
        <v>0.61745000000000005</v>
      </c>
      <c r="F594">
        <v>0.17299999999999999</v>
      </c>
      <c r="G594">
        <v>165.06449900000001</v>
      </c>
      <c r="H594">
        <v>5670</v>
      </c>
    </row>
    <row r="595" spans="1:8" x14ac:dyDescent="0.45">
      <c r="A595">
        <v>2018</v>
      </c>
      <c r="B595" t="s">
        <v>34</v>
      </c>
      <c r="C595">
        <v>8.5</v>
      </c>
      <c r="D595">
        <v>0.67486000000000002</v>
      </c>
      <c r="E595">
        <v>0.46150000000000002</v>
      </c>
      <c r="F595">
        <v>0.19600000000000001</v>
      </c>
      <c r="G595">
        <v>4.9636319999999996</v>
      </c>
      <c r="H595">
        <v>765</v>
      </c>
    </row>
    <row r="596" spans="1:8" x14ac:dyDescent="0.45">
      <c r="A596">
        <v>2018</v>
      </c>
      <c r="B596" t="s">
        <v>35</v>
      </c>
      <c r="C596">
        <v>12.8</v>
      </c>
      <c r="D596">
        <v>5.8619999999999998E-2</v>
      </c>
      <c r="E596">
        <v>4.2700000000000004E-3</v>
      </c>
      <c r="F596">
        <v>1E-3</v>
      </c>
      <c r="G596">
        <v>4.3468640000000001</v>
      </c>
      <c r="H596">
        <v>237</v>
      </c>
    </row>
    <row r="597" spans="1:8" x14ac:dyDescent="0.45">
      <c r="A597">
        <v>2018</v>
      </c>
      <c r="B597" t="s">
        <v>36</v>
      </c>
      <c r="C597">
        <v>66.8</v>
      </c>
      <c r="D597">
        <v>3.4517500000000001</v>
      </c>
      <c r="E597">
        <v>2.6042299999999998</v>
      </c>
      <c r="F597">
        <v>0.55100000000000005</v>
      </c>
      <c r="G597">
        <v>34.007609000000002</v>
      </c>
      <c r="H597">
        <v>5288</v>
      </c>
    </row>
    <row r="598" spans="1:8" x14ac:dyDescent="0.45">
      <c r="A598">
        <v>2018</v>
      </c>
      <c r="B598" t="s">
        <v>37</v>
      </c>
      <c r="C598">
        <v>335.1</v>
      </c>
      <c r="D598">
        <v>22.247900000000001</v>
      </c>
      <c r="E598">
        <v>15.9709</v>
      </c>
      <c r="F598">
        <v>4.1719999999999997</v>
      </c>
      <c r="G598">
        <v>166.99933899999999</v>
      </c>
      <c r="H598">
        <v>63825</v>
      </c>
    </row>
    <row r="599" spans="1:8" x14ac:dyDescent="0.45">
      <c r="A599">
        <v>2018</v>
      </c>
      <c r="B599" t="s">
        <v>38</v>
      </c>
      <c r="C599">
        <v>397</v>
      </c>
      <c r="D599">
        <v>1.87887</v>
      </c>
      <c r="E599">
        <v>0.18503</v>
      </c>
      <c r="F599">
        <v>5.8000000000000003E-2</v>
      </c>
      <c r="G599">
        <v>162.83618000000001</v>
      </c>
      <c r="H599">
        <v>3755</v>
      </c>
    </row>
    <row r="600" spans="1:8" x14ac:dyDescent="0.45">
      <c r="A600">
        <v>2019</v>
      </c>
      <c r="B600" t="s">
        <v>8</v>
      </c>
      <c r="C600">
        <v>45</v>
      </c>
      <c r="D600">
        <v>1.1976199999999999</v>
      </c>
      <c r="E600">
        <v>0.47297</v>
      </c>
      <c r="F600">
        <v>7.8E-2</v>
      </c>
      <c r="G600">
        <v>20.580300000000001</v>
      </c>
      <c r="H600">
        <v>2338</v>
      </c>
    </row>
    <row r="601" spans="1:8" x14ac:dyDescent="0.45">
      <c r="A601">
        <v>2019</v>
      </c>
      <c r="B601" t="s">
        <v>9</v>
      </c>
      <c r="C601">
        <v>30.5</v>
      </c>
      <c r="D601">
        <v>1.7007000000000001</v>
      </c>
      <c r="E601">
        <v>1.30318</v>
      </c>
      <c r="F601">
        <v>0.40300000000000002</v>
      </c>
      <c r="G601">
        <v>16.427547000000001</v>
      </c>
      <c r="H601">
        <v>3789</v>
      </c>
    </row>
    <row r="602" spans="1:8" x14ac:dyDescent="0.45">
      <c r="A602">
        <v>2019</v>
      </c>
      <c r="B602" t="s">
        <v>10</v>
      </c>
      <c r="C602">
        <v>207.5</v>
      </c>
      <c r="D602">
        <v>3.7380599999999999</v>
      </c>
      <c r="E602">
        <v>1.54325</v>
      </c>
      <c r="F602">
        <v>0.30099999999999999</v>
      </c>
      <c r="G602">
        <v>106.262669</v>
      </c>
      <c r="H602">
        <v>9427</v>
      </c>
    </row>
    <row r="603" spans="1:8" x14ac:dyDescent="0.45">
      <c r="A603">
        <v>2019</v>
      </c>
      <c r="B603" t="s">
        <v>11</v>
      </c>
      <c r="C603">
        <v>37.799999999999997</v>
      </c>
      <c r="D603">
        <v>2.16622</v>
      </c>
      <c r="E603">
        <v>1.3452900000000001</v>
      </c>
      <c r="F603">
        <v>0.377</v>
      </c>
      <c r="G603">
        <v>20.799434999999999</v>
      </c>
      <c r="H603">
        <v>7879</v>
      </c>
    </row>
    <row r="604" spans="1:8" x14ac:dyDescent="0.45">
      <c r="A604">
        <v>2019</v>
      </c>
      <c r="B604" t="s">
        <v>12</v>
      </c>
      <c r="C604">
        <v>43.6</v>
      </c>
      <c r="D604">
        <v>0.40955999999999998</v>
      </c>
      <c r="E604">
        <v>0.20294999999999999</v>
      </c>
      <c r="F604">
        <v>0.04</v>
      </c>
      <c r="G604">
        <v>17.884311</v>
      </c>
      <c r="H604">
        <v>1072</v>
      </c>
    </row>
    <row r="605" spans="1:8" x14ac:dyDescent="0.45">
      <c r="A605">
        <v>2019</v>
      </c>
      <c r="B605" t="s">
        <v>13</v>
      </c>
      <c r="C605">
        <v>49.4</v>
      </c>
      <c r="D605">
        <v>0.62963000000000002</v>
      </c>
      <c r="E605">
        <v>0.22058</v>
      </c>
      <c r="F605">
        <v>5.8000000000000003E-2</v>
      </c>
      <c r="G605">
        <v>21.467949999999998</v>
      </c>
      <c r="H605">
        <v>1278</v>
      </c>
    </row>
    <row r="606" spans="1:8" x14ac:dyDescent="0.45">
      <c r="A606">
        <v>2019</v>
      </c>
      <c r="B606" t="s">
        <v>14</v>
      </c>
      <c r="C606">
        <v>95</v>
      </c>
      <c r="D606">
        <v>1.47559</v>
      </c>
      <c r="E606">
        <v>0.27739000000000003</v>
      </c>
      <c r="F606">
        <v>0.11</v>
      </c>
      <c r="G606">
        <v>40.423158999999998</v>
      </c>
      <c r="H606">
        <v>5050</v>
      </c>
    </row>
    <row r="607" spans="1:8" x14ac:dyDescent="0.45">
      <c r="A607">
        <v>2019</v>
      </c>
      <c r="B607" t="s">
        <v>15</v>
      </c>
      <c r="C607">
        <v>19.2</v>
      </c>
      <c r="D607">
        <v>0.54173000000000004</v>
      </c>
      <c r="E607">
        <v>0.20596999999999999</v>
      </c>
      <c r="F607">
        <v>6.5000000000000002E-2</v>
      </c>
      <c r="G607">
        <v>9.8437750000000008</v>
      </c>
      <c r="H607">
        <v>1152</v>
      </c>
    </row>
    <row r="608" spans="1:8" x14ac:dyDescent="0.45">
      <c r="A608">
        <v>2019</v>
      </c>
      <c r="B608" t="s">
        <v>16</v>
      </c>
      <c r="C608">
        <v>1455.4</v>
      </c>
      <c r="D608">
        <v>27.075199999999999</v>
      </c>
      <c r="E608">
        <v>8.4057700000000004</v>
      </c>
      <c r="F608">
        <v>6.9000000000000006E-2</v>
      </c>
      <c r="G608">
        <v>780.31730900000002</v>
      </c>
      <c r="H608">
        <v>78003</v>
      </c>
    </row>
    <row r="609" spans="1:8" x14ac:dyDescent="0.45">
      <c r="A609">
        <v>2019</v>
      </c>
      <c r="B609" t="s">
        <v>17</v>
      </c>
      <c r="C609">
        <v>439.2</v>
      </c>
      <c r="D609">
        <v>1.21878</v>
      </c>
      <c r="E609">
        <v>0.30044999999999999</v>
      </c>
      <c r="F609">
        <v>9.9000000000000005E-2</v>
      </c>
      <c r="G609">
        <v>181.67911899999999</v>
      </c>
      <c r="H609">
        <v>5770</v>
      </c>
    </row>
    <row r="610" spans="1:8" x14ac:dyDescent="0.45">
      <c r="A610">
        <v>2019</v>
      </c>
      <c r="B610" t="s">
        <v>18</v>
      </c>
      <c r="C610">
        <v>447.4</v>
      </c>
      <c r="D610">
        <v>23.097899999999999</v>
      </c>
      <c r="E610">
        <v>11.028700000000001</v>
      </c>
      <c r="F610">
        <v>3.24</v>
      </c>
      <c r="G610">
        <v>216.853961</v>
      </c>
      <c r="H610">
        <v>40642</v>
      </c>
    </row>
    <row r="611" spans="1:8" x14ac:dyDescent="0.45">
      <c r="A611">
        <v>2019</v>
      </c>
      <c r="B611" t="s">
        <v>19</v>
      </c>
      <c r="C611">
        <v>1389</v>
      </c>
      <c r="D611">
        <v>11.0151</v>
      </c>
      <c r="E611">
        <v>1.8948100000000001</v>
      </c>
      <c r="F611">
        <v>0.79500000000000004</v>
      </c>
      <c r="G611">
        <v>531.38354200000003</v>
      </c>
      <c r="H611">
        <v>27009</v>
      </c>
    </row>
    <row r="612" spans="1:8" x14ac:dyDescent="0.45">
      <c r="A612">
        <v>2019</v>
      </c>
      <c r="B612" t="s">
        <v>20</v>
      </c>
      <c r="C612">
        <v>126.7</v>
      </c>
      <c r="D612">
        <v>5.6644100000000002</v>
      </c>
      <c r="E612">
        <v>3.3972799999999999</v>
      </c>
      <c r="F612">
        <v>1.1539999999999999</v>
      </c>
      <c r="G612">
        <v>68.812048000000004</v>
      </c>
      <c r="H612">
        <v>10477</v>
      </c>
    </row>
    <row r="613" spans="1:8" x14ac:dyDescent="0.45">
      <c r="A613">
        <v>2019</v>
      </c>
      <c r="B613" t="s">
        <v>21</v>
      </c>
      <c r="C613">
        <v>135.80000000000001</v>
      </c>
      <c r="D613">
        <v>3.0442200000000001</v>
      </c>
      <c r="E613">
        <v>1.0844100000000001</v>
      </c>
      <c r="F613">
        <v>0.34499999999999997</v>
      </c>
      <c r="G613">
        <v>48.950172999999999</v>
      </c>
      <c r="H613">
        <v>5577</v>
      </c>
    </row>
    <row r="614" spans="1:8" x14ac:dyDescent="0.45">
      <c r="A614">
        <v>2019</v>
      </c>
      <c r="B614" t="s">
        <v>22</v>
      </c>
      <c r="C614">
        <v>125.8</v>
      </c>
      <c r="D614">
        <v>2.7295799999999999</v>
      </c>
      <c r="E614">
        <v>1.04013</v>
      </c>
      <c r="F614">
        <v>0.27</v>
      </c>
      <c r="G614">
        <v>56.614536000000001</v>
      </c>
      <c r="H614">
        <v>4755</v>
      </c>
    </row>
    <row r="615" spans="1:8" x14ac:dyDescent="0.45">
      <c r="A615">
        <v>2019</v>
      </c>
      <c r="B615" t="s">
        <v>23</v>
      </c>
      <c r="C615">
        <v>182.2</v>
      </c>
      <c r="D615">
        <v>0.67730000000000001</v>
      </c>
      <c r="E615">
        <v>0.16225999999999999</v>
      </c>
      <c r="F615">
        <v>5.8999999999999997E-2</v>
      </c>
      <c r="G615">
        <v>67.005201999999997</v>
      </c>
      <c r="H615">
        <v>2087</v>
      </c>
    </row>
    <row r="616" spans="1:8" x14ac:dyDescent="0.45">
      <c r="A616">
        <v>2019</v>
      </c>
      <c r="B616" t="s">
        <v>24</v>
      </c>
      <c r="C616">
        <v>72.5</v>
      </c>
      <c r="D616">
        <v>1.87124</v>
      </c>
      <c r="E616">
        <v>0.53020999999999996</v>
      </c>
      <c r="F616">
        <v>0.18099999999999999</v>
      </c>
      <c r="G616">
        <v>38.272159000000002</v>
      </c>
      <c r="H616">
        <v>4657</v>
      </c>
    </row>
    <row r="617" spans="1:8" x14ac:dyDescent="0.45">
      <c r="A617">
        <v>2019</v>
      </c>
      <c r="B617" t="s">
        <v>25</v>
      </c>
      <c r="C617">
        <v>252</v>
      </c>
      <c r="D617">
        <v>3.0185300000000002</v>
      </c>
      <c r="E617">
        <v>0.69882999999999995</v>
      </c>
      <c r="F617">
        <v>0.20699999999999999</v>
      </c>
      <c r="G617">
        <v>72.417869999999994</v>
      </c>
      <c r="H617">
        <v>5750</v>
      </c>
    </row>
    <row r="618" spans="1:8" x14ac:dyDescent="0.45">
      <c r="A618">
        <v>2019</v>
      </c>
      <c r="B618" t="s">
        <v>26</v>
      </c>
      <c r="C618">
        <v>216.5</v>
      </c>
      <c r="D618">
        <v>5.1574299999999997</v>
      </c>
      <c r="E618">
        <v>1.34798</v>
      </c>
      <c r="F618">
        <v>0.34399999999999997</v>
      </c>
      <c r="G618">
        <v>74.090711999999996</v>
      </c>
      <c r="H618">
        <v>19674</v>
      </c>
    </row>
    <row r="619" spans="1:8" x14ac:dyDescent="0.45">
      <c r="A619">
        <v>2019</v>
      </c>
      <c r="B619" t="s">
        <v>27</v>
      </c>
      <c r="C619">
        <v>51.8</v>
      </c>
      <c r="D619">
        <v>2.4203800000000002</v>
      </c>
      <c r="E619">
        <v>1.0597799999999999</v>
      </c>
      <c r="F619">
        <v>0.47599999999999998</v>
      </c>
      <c r="G619">
        <v>28.561855999999999</v>
      </c>
      <c r="H619">
        <v>5644</v>
      </c>
    </row>
    <row r="620" spans="1:8" x14ac:dyDescent="0.45">
      <c r="A620">
        <v>2019</v>
      </c>
      <c r="B620" t="s">
        <v>28</v>
      </c>
      <c r="C620">
        <v>146.5</v>
      </c>
      <c r="D620">
        <v>5.5195299999999996</v>
      </c>
      <c r="E620">
        <v>1.04613</v>
      </c>
      <c r="F620">
        <v>0.30299999999999999</v>
      </c>
      <c r="G620">
        <v>73.950193999999996</v>
      </c>
      <c r="H620">
        <v>18914</v>
      </c>
    </row>
    <row r="621" spans="1:8" x14ac:dyDescent="0.45">
      <c r="A621">
        <v>2019</v>
      </c>
      <c r="B621" t="s">
        <v>29</v>
      </c>
      <c r="C621">
        <v>59.6</v>
      </c>
      <c r="D621">
        <v>0.85629</v>
      </c>
      <c r="E621">
        <v>0.30519000000000002</v>
      </c>
      <c r="F621">
        <v>5.8000000000000003E-2</v>
      </c>
      <c r="G621">
        <v>25.222297000000001</v>
      </c>
      <c r="H621">
        <v>2365</v>
      </c>
    </row>
    <row r="622" spans="1:8" x14ac:dyDescent="0.45">
      <c r="A622">
        <v>2019</v>
      </c>
      <c r="B622" t="s">
        <v>30</v>
      </c>
      <c r="C622">
        <v>151.9</v>
      </c>
      <c r="D622">
        <v>1.95059</v>
      </c>
      <c r="E622">
        <v>0.64092000000000005</v>
      </c>
      <c r="F622">
        <v>0.161</v>
      </c>
      <c r="G622">
        <v>75.042694999999995</v>
      </c>
      <c r="H622">
        <v>4394</v>
      </c>
    </row>
    <row r="623" spans="1:8" x14ac:dyDescent="0.45">
      <c r="A623">
        <v>2019</v>
      </c>
      <c r="B623" t="s">
        <v>31</v>
      </c>
      <c r="C623">
        <v>695.2</v>
      </c>
      <c r="D623">
        <v>9.4596999999999998</v>
      </c>
      <c r="E623">
        <v>2.0114800000000002</v>
      </c>
      <c r="F623">
        <v>0.85499999999999998</v>
      </c>
      <c r="G623">
        <v>353.13324599999999</v>
      </c>
      <c r="H623">
        <v>18679</v>
      </c>
    </row>
    <row r="624" spans="1:8" x14ac:dyDescent="0.45">
      <c r="A624">
        <v>2019</v>
      </c>
      <c r="B624" t="s">
        <v>32</v>
      </c>
      <c r="C624">
        <v>8.4</v>
      </c>
      <c r="D624">
        <v>8.8959999999999997E-2</v>
      </c>
      <c r="E624">
        <v>2.9499999999999998E-2</v>
      </c>
      <c r="F624">
        <v>8.0000000000000002E-3</v>
      </c>
      <c r="G624">
        <v>3.1632129999999998</v>
      </c>
      <c r="H624">
        <v>224</v>
      </c>
    </row>
    <row r="625" spans="1:8" x14ac:dyDescent="0.45">
      <c r="A625">
        <v>2019</v>
      </c>
      <c r="B625" t="s">
        <v>33</v>
      </c>
      <c r="C625">
        <v>485.6</v>
      </c>
      <c r="D625">
        <v>2.9327100000000002</v>
      </c>
      <c r="E625">
        <v>0.64886999999999995</v>
      </c>
      <c r="F625">
        <v>0.17</v>
      </c>
      <c r="G625">
        <v>169.27043</v>
      </c>
      <c r="H625">
        <v>5541</v>
      </c>
    </row>
    <row r="626" spans="1:8" x14ac:dyDescent="0.45">
      <c r="A626">
        <v>2019</v>
      </c>
      <c r="B626" t="s">
        <v>34</v>
      </c>
      <c r="C626">
        <v>8.6</v>
      </c>
      <c r="D626">
        <v>0.68255999999999994</v>
      </c>
      <c r="E626">
        <v>0.46678999999999998</v>
      </c>
      <c r="F626">
        <v>0.19800000000000001</v>
      </c>
      <c r="G626">
        <v>4.9782250000000001</v>
      </c>
      <c r="H626">
        <v>767</v>
      </c>
    </row>
    <row r="627" spans="1:8" x14ac:dyDescent="0.45">
      <c r="A627">
        <v>2019</v>
      </c>
      <c r="B627" t="s">
        <v>35</v>
      </c>
      <c r="C627">
        <v>13</v>
      </c>
      <c r="D627">
        <v>6.0519999999999997E-2</v>
      </c>
      <c r="E627">
        <v>4.4099999999999999E-3</v>
      </c>
      <c r="F627">
        <v>1E-3</v>
      </c>
      <c r="G627">
        <v>4.4587649999999996</v>
      </c>
      <c r="H627">
        <v>240</v>
      </c>
    </row>
    <row r="628" spans="1:8" x14ac:dyDescent="0.45">
      <c r="A628">
        <v>2019</v>
      </c>
      <c r="B628" t="s">
        <v>36</v>
      </c>
      <c r="C628">
        <v>67.099999999999994</v>
      </c>
      <c r="D628">
        <v>3.5078299999999998</v>
      </c>
      <c r="E628">
        <v>2.6489600000000002</v>
      </c>
      <c r="F628">
        <v>0.56299999999999994</v>
      </c>
      <c r="G628">
        <v>34.191597000000002</v>
      </c>
      <c r="H628">
        <v>5248</v>
      </c>
    </row>
    <row r="629" spans="1:8" x14ac:dyDescent="0.45">
      <c r="A629">
        <v>2019</v>
      </c>
      <c r="B629" t="s">
        <v>37</v>
      </c>
      <c r="C629">
        <v>337.8</v>
      </c>
      <c r="D629">
        <v>22.822800000000001</v>
      </c>
      <c r="E629">
        <v>16.361499999999999</v>
      </c>
      <c r="F629">
        <v>4.3079999999999998</v>
      </c>
      <c r="G629">
        <v>168.920514</v>
      </c>
      <c r="H629">
        <v>63312</v>
      </c>
    </row>
    <row r="630" spans="1:8" x14ac:dyDescent="0.45">
      <c r="A630">
        <v>2019</v>
      </c>
      <c r="B630" t="s">
        <v>38</v>
      </c>
      <c r="C630">
        <v>406.7</v>
      </c>
      <c r="D630">
        <v>1.94685</v>
      </c>
      <c r="E630">
        <v>0.19819000000000001</v>
      </c>
      <c r="F630">
        <v>0.06</v>
      </c>
      <c r="G630">
        <v>167.27026000000001</v>
      </c>
      <c r="H630">
        <v>3905</v>
      </c>
    </row>
    <row r="631" spans="1:8" x14ac:dyDescent="0.45">
      <c r="A631">
        <v>2020</v>
      </c>
      <c r="B631" t="s">
        <v>8</v>
      </c>
      <c r="C631">
        <v>45.2</v>
      </c>
      <c r="D631">
        <v>1.0790500000000001</v>
      </c>
      <c r="E631">
        <v>0.42285</v>
      </c>
      <c r="F631">
        <v>6.8000000000000005E-2</v>
      </c>
      <c r="G631">
        <v>19.317784</v>
      </c>
      <c r="H631">
        <v>2188</v>
      </c>
    </row>
    <row r="632" spans="1:8" x14ac:dyDescent="0.45">
      <c r="A632">
        <v>2020</v>
      </c>
      <c r="B632" t="s">
        <v>9</v>
      </c>
      <c r="C632">
        <v>30.8</v>
      </c>
      <c r="D632">
        <v>1.6982200000000001</v>
      </c>
      <c r="E632">
        <v>1.30236</v>
      </c>
      <c r="F632">
        <v>0.39500000000000002</v>
      </c>
      <c r="G632">
        <v>16.479278000000001</v>
      </c>
      <c r="H632">
        <v>3647</v>
      </c>
    </row>
    <row r="633" spans="1:8" x14ac:dyDescent="0.45">
      <c r="A633">
        <v>2020</v>
      </c>
      <c r="B633" t="s">
        <v>10</v>
      </c>
      <c r="C633">
        <v>208.7</v>
      </c>
      <c r="D633">
        <v>3.61557</v>
      </c>
      <c r="E633">
        <v>1.4759800000000001</v>
      </c>
      <c r="F633">
        <v>0.29599999999999999</v>
      </c>
      <c r="G633">
        <v>100.001874</v>
      </c>
      <c r="H633">
        <v>9559</v>
      </c>
    </row>
    <row r="634" spans="1:8" x14ac:dyDescent="0.45">
      <c r="A634">
        <v>2020</v>
      </c>
      <c r="B634" t="s">
        <v>11</v>
      </c>
      <c r="C634">
        <v>38.200000000000003</v>
      </c>
      <c r="D634">
        <v>2.05708</v>
      </c>
      <c r="E634">
        <v>1.2883199999999999</v>
      </c>
      <c r="F634">
        <v>0.36299999999999999</v>
      </c>
      <c r="G634">
        <v>20.505333</v>
      </c>
      <c r="H634">
        <v>7186</v>
      </c>
    </row>
    <row r="635" spans="1:8" x14ac:dyDescent="0.45">
      <c r="A635">
        <v>2020</v>
      </c>
      <c r="B635" t="s">
        <v>12</v>
      </c>
      <c r="C635">
        <v>43.8</v>
      </c>
      <c r="D635">
        <v>0.37378</v>
      </c>
      <c r="E635">
        <v>0.17791999999999999</v>
      </c>
      <c r="F635">
        <v>3.3000000000000002E-2</v>
      </c>
      <c r="G635">
        <v>17.23508</v>
      </c>
      <c r="H635">
        <v>954</v>
      </c>
    </row>
    <row r="636" spans="1:8" x14ac:dyDescent="0.45">
      <c r="A636">
        <v>2020</v>
      </c>
      <c r="B636" t="s">
        <v>13</v>
      </c>
      <c r="C636">
        <v>50</v>
      </c>
      <c r="D636">
        <v>0.58372999999999997</v>
      </c>
      <c r="E636">
        <v>0.21678</v>
      </c>
      <c r="F636">
        <v>4.3999999999999997E-2</v>
      </c>
      <c r="G636">
        <v>20.918416000000001</v>
      </c>
      <c r="H636">
        <v>1205</v>
      </c>
    </row>
    <row r="637" spans="1:8" x14ac:dyDescent="0.45">
      <c r="A637">
        <v>2020</v>
      </c>
      <c r="B637" t="s">
        <v>14</v>
      </c>
      <c r="C637">
        <v>96.6</v>
      </c>
      <c r="D637">
        <v>1.4503600000000001</v>
      </c>
      <c r="E637">
        <v>0.27540999999999999</v>
      </c>
      <c r="F637">
        <v>0.106</v>
      </c>
      <c r="G637">
        <v>40.515056999999999</v>
      </c>
      <c r="H637">
        <v>5420</v>
      </c>
    </row>
    <row r="638" spans="1:8" x14ac:dyDescent="0.45">
      <c r="A638">
        <v>2020</v>
      </c>
      <c r="B638" t="s">
        <v>15</v>
      </c>
      <c r="C638">
        <v>19.399999999999999</v>
      </c>
      <c r="D638">
        <v>0.50844999999999996</v>
      </c>
      <c r="E638">
        <v>0.1923</v>
      </c>
      <c r="F638">
        <v>5.8000000000000003E-2</v>
      </c>
      <c r="G638">
        <v>8.9067880000000006</v>
      </c>
      <c r="H638">
        <v>1090</v>
      </c>
    </row>
    <row r="639" spans="1:8" x14ac:dyDescent="0.45">
      <c r="A639">
        <v>2020</v>
      </c>
      <c r="B639" t="s">
        <v>16</v>
      </c>
      <c r="C639">
        <v>1457.9</v>
      </c>
      <c r="D639">
        <v>27.6143</v>
      </c>
      <c r="E639">
        <v>8.3686799999999995</v>
      </c>
      <c r="F639">
        <v>6.0999999999999999E-2</v>
      </c>
      <c r="G639">
        <v>768.14644499999997</v>
      </c>
      <c r="H639">
        <v>79465</v>
      </c>
    </row>
    <row r="640" spans="1:8" x14ac:dyDescent="0.45">
      <c r="A640">
        <v>2020</v>
      </c>
      <c r="B640" t="s">
        <v>17</v>
      </c>
      <c r="C640">
        <v>451.2</v>
      </c>
      <c r="D640">
        <v>1.2262999999999999</v>
      </c>
      <c r="E640">
        <v>0.30542000000000002</v>
      </c>
      <c r="F640">
        <v>9.7000000000000003E-2</v>
      </c>
      <c r="G640">
        <v>185.337073</v>
      </c>
      <c r="H640">
        <v>5866</v>
      </c>
    </row>
    <row r="641" spans="1:8" x14ac:dyDescent="0.45">
      <c r="A641">
        <v>2020</v>
      </c>
      <c r="B641" t="s">
        <v>18</v>
      </c>
      <c r="C641">
        <v>447.8</v>
      </c>
      <c r="D641">
        <v>21.803799999999999</v>
      </c>
      <c r="E641">
        <v>10.4962</v>
      </c>
      <c r="F641">
        <v>3.0790000000000002</v>
      </c>
      <c r="G641">
        <v>214.30615900000001</v>
      </c>
      <c r="H641">
        <v>38352</v>
      </c>
    </row>
    <row r="642" spans="1:8" x14ac:dyDescent="0.45">
      <c r="A642">
        <v>2020</v>
      </c>
      <c r="B642" t="s">
        <v>19</v>
      </c>
      <c r="C642">
        <v>1402.6</v>
      </c>
      <c r="D642">
        <v>10.3787</v>
      </c>
      <c r="E642">
        <v>1.80769</v>
      </c>
      <c r="F642">
        <v>0.73799999999999999</v>
      </c>
      <c r="G642">
        <v>532.52835400000004</v>
      </c>
      <c r="H642">
        <v>25312</v>
      </c>
    </row>
    <row r="643" spans="1:8" x14ac:dyDescent="0.45">
      <c r="A643">
        <v>2020</v>
      </c>
      <c r="B643" t="s">
        <v>20</v>
      </c>
      <c r="C643">
        <v>126.3</v>
      </c>
      <c r="D643">
        <v>5.4282700000000004</v>
      </c>
      <c r="E643">
        <v>3.3084799999999999</v>
      </c>
      <c r="F643">
        <v>1.1120000000000001</v>
      </c>
      <c r="G643">
        <v>68.656452000000002</v>
      </c>
      <c r="H643">
        <v>9947</v>
      </c>
    </row>
    <row r="644" spans="1:8" x14ac:dyDescent="0.45">
      <c r="A644">
        <v>2020</v>
      </c>
      <c r="B644" t="s">
        <v>21</v>
      </c>
      <c r="C644">
        <v>137.6</v>
      </c>
      <c r="D644">
        <v>3.0547499999999999</v>
      </c>
      <c r="E644">
        <v>1.0786800000000001</v>
      </c>
      <c r="F644">
        <v>0.35599999999999998</v>
      </c>
      <c r="G644">
        <v>47.125216000000002</v>
      </c>
      <c r="H644">
        <v>5551</v>
      </c>
    </row>
    <row r="645" spans="1:8" x14ac:dyDescent="0.45">
      <c r="A645">
        <v>2020</v>
      </c>
      <c r="B645" t="s">
        <v>22</v>
      </c>
      <c r="C645">
        <v>126.8</v>
      </c>
      <c r="D645">
        <v>2.5015499999999999</v>
      </c>
      <c r="E645">
        <v>0.95108999999999999</v>
      </c>
      <c r="F645">
        <v>0.224</v>
      </c>
      <c r="G645">
        <v>52.956485999999998</v>
      </c>
      <c r="H645">
        <v>4130</v>
      </c>
    </row>
    <row r="646" spans="1:8" x14ac:dyDescent="0.45">
      <c r="A646">
        <v>2020</v>
      </c>
      <c r="B646" t="s">
        <v>23</v>
      </c>
      <c r="C646">
        <v>187.9</v>
      </c>
      <c r="D646">
        <v>0.65978999999999999</v>
      </c>
      <c r="E646">
        <v>0.15281</v>
      </c>
      <c r="F646">
        <v>5.8000000000000003E-2</v>
      </c>
      <c r="G646">
        <v>67.307097999999996</v>
      </c>
      <c r="H646">
        <v>2129</v>
      </c>
    </row>
    <row r="647" spans="1:8" x14ac:dyDescent="0.45">
      <c r="A647">
        <v>2020</v>
      </c>
      <c r="B647" t="s">
        <v>24</v>
      </c>
      <c r="C647">
        <v>72</v>
      </c>
      <c r="D647">
        <v>1.8198300000000001</v>
      </c>
      <c r="E647">
        <v>0.51736000000000004</v>
      </c>
      <c r="F647">
        <v>0.16900000000000001</v>
      </c>
      <c r="G647">
        <v>37.454296999999997</v>
      </c>
      <c r="H647">
        <v>4449</v>
      </c>
    </row>
    <row r="648" spans="1:8" x14ac:dyDescent="0.45">
      <c r="A648">
        <v>2020</v>
      </c>
      <c r="B648" t="s">
        <v>25</v>
      </c>
      <c r="C648">
        <v>256.3</v>
      </c>
      <c r="D648">
        <v>2.9703499999999998</v>
      </c>
      <c r="E648">
        <v>0.71531</v>
      </c>
      <c r="F648">
        <v>0.182</v>
      </c>
      <c r="G648">
        <v>71.57799</v>
      </c>
      <c r="H648">
        <v>5480</v>
      </c>
    </row>
    <row r="649" spans="1:8" x14ac:dyDescent="0.45">
      <c r="A649">
        <v>2020</v>
      </c>
      <c r="B649" t="s">
        <v>26</v>
      </c>
      <c r="C649">
        <v>219.6</v>
      </c>
      <c r="D649">
        <v>4.9877500000000001</v>
      </c>
      <c r="E649">
        <v>1.3187800000000001</v>
      </c>
      <c r="F649">
        <v>0.315</v>
      </c>
      <c r="G649">
        <v>73.164265999999998</v>
      </c>
      <c r="H649">
        <v>19208</v>
      </c>
    </row>
    <row r="650" spans="1:8" x14ac:dyDescent="0.45">
      <c r="A650">
        <v>2020</v>
      </c>
      <c r="B650" t="s">
        <v>27</v>
      </c>
      <c r="C650">
        <v>51.9</v>
      </c>
      <c r="D650">
        <v>2.4032100000000001</v>
      </c>
      <c r="E650">
        <v>1.0359700000000001</v>
      </c>
      <c r="F650">
        <v>0.49299999999999999</v>
      </c>
      <c r="G650">
        <v>28.369827000000001</v>
      </c>
      <c r="H650">
        <v>5495</v>
      </c>
    </row>
    <row r="651" spans="1:8" x14ac:dyDescent="0.45">
      <c r="A651">
        <v>2020</v>
      </c>
      <c r="B651" t="s">
        <v>28</v>
      </c>
      <c r="C651">
        <v>146.4</v>
      </c>
      <c r="D651">
        <v>5.3730599999999997</v>
      </c>
      <c r="E651">
        <v>1.00499</v>
      </c>
      <c r="F651">
        <v>0.28999999999999998</v>
      </c>
      <c r="G651">
        <v>73.449927000000002</v>
      </c>
      <c r="H651">
        <v>18017</v>
      </c>
    </row>
    <row r="652" spans="1:8" x14ac:dyDescent="0.45">
      <c r="A652">
        <v>2020</v>
      </c>
      <c r="B652" t="s">
        <v>29</v>
      </c>
      <c r="C652">
        <v>60.6</v>
      </c>
      <c r="D652">
        <v>0.80347000000000002</v>
      </c>
      <c r="E652">
        <v>0.29136000000000001</v>
      </c>
      <c r="F652">
        <v>0.05</v>
      </c>
      <c r="G652">
        <v>24.183888</v>
      </c>
      <c r="H652">
        <v>2174</v>
      </c>
    </row>
    <row r="653" spans="1:8" x14ac:dyDescent="0.45">
      <c r="A653">
        <v>2020</v>
      </c>
      <c r="B653" t="s">
        <v>30</v>
      </c>
      <c r="C653">
        <v>153</v>
      </c>
      <c r="D653">
        <v>1.7952999999999999</v>
      </c>
      <c r="E653">
        <v>0.60299999999999998</v>
      </c>
      <c r="F653">
        <v>0.13100000000000001</v>
      </c>
      <c r="G653">
        <v>71.834900000000005</v>
      </c>
      <c r="H653">
        <v>3704</v>
      </c>
    </row>
    <row r="654" spans="1:8" x14ac:dyDescent="0.45">
      <c r="A654">
        <v>2020</v>
      </c>
      <c r="B654" t="s">
        <v>31</v>
      </c>
      <c r="C654">
        <v>701.1</v>
      </c>
      <c r="D654">
        <v>9.1130399999999998</v>
      </c>
      <c r="E654">
        <v>1.9605999999999999</v>
      </c>
      <c r="F654">
        <v>0.78300000000000003</v>
      </c>
      <c r="G654">
        <v>350.008374</v>
      </c>
      <c r="H654">
        <v>17702</v>
      </c>
    </row>
    <row r="655" spans="1:8" x14ac:dyDescent="0.45">
      <c r="A655">
        <v>2020</v>
      </c>
      <c r="B655" t="s">
        <v>32</v>
      </c>
      <c r="C655">
        <v>8.5</v>
      </c>
      <c r="D655">
        <v>8.2110000000000002E-2</v>
      </c>
      <c r="E655">
        <v>2.9069999999999999E-2</v>
      </c>
      <c r="F655">
        <v>7.0000000000000001E-3</v>
      </c>
      <c r="G655">
        <v>3.1681349999999999</v>
      </c>
      <c r="H655">
        <v>212</v>
      </c>
    </row>
    <row r="656" spans="1:8" x14ac:dyDescent="0.45">
      <c r="A656">
        <v>2020</v>
      </c>
      <c r="B656" t="s">
        <v>33</v>
      </c>
      <c r="C656">
        <v>493.2</v>
      </c>
      <c r="D656">
        <v>2.9308999999999998</v>
      </c>
      <c r="E656">
        <v>0.64576999999999996</v>
      </c>
      <c r="F656">
        <v>0.16500000000000001</v>
      </c>
      <c r="G656">
        <v>172.00545500000001</v>
      </c>
      <c r="H656">
        <v>5685</v>
      </c>
    </row>
    <row r="657" spans="1:8" x14ac:dyDescent="0.45">
      <c r="A657">
        <v>2020</v>
      </c>
      <c r="B657" t="s">
        <v>34</v>
      </c>
      <c r="C657">
        <v>8.6</v>
      </c>
      <c r="D657">
        <v>0.66795000000000004</v>
      </c>
      <c r="E657">
        <v>0.45706999999999998</v>
      </c>
      <c r="F657">
        <v>0.19500000000000001</v>
      </c>
      <c r="G657">
        <v>4.9886379999999999</v>
      </c>
      <c r="H657">
        <v>727</v>
      </c>
    </row>
    <row r="658" spans="1:8" x14ac:dyDescent="0.45">
      <c r="A658">
        <v>2020</v>
      </c>
      <c r="B658" t="s">
        <v>35</v>
      </c>
      <c r="C658">
        <v>13.3</v>
      </c>
      <c r="D658">
        <v>5.6910000000000002E-2</v>
      </c>
      <c r="E658">
        <v>4.28E-3</v>
      </c>
      <c r="F658">
        <v>1E-3</v>
      </c>
      <c r="G658">
        <v>4.5324109999999997</v>
      </c>
      <c r="H658">
        <v>233</v>
      </c>
    </row>
    <row r="659" spans="1:8" x14ac:dyDescent="0.45">
      <c r="A659">
        <v>2020</v>
      </c>
      <c r="B659" t="s">
        <v>36</v>
      </c>
      <c r="C659">
        <v>67.400000000000006</v>
      </c>
      <c r="D659">
        <v>3.14663</v>
      </c>
      <c r="E659">
        <v>2.3395999999999999</v>
      </c>
      <c r="F659">
        <v>0.50800000000000001</v>
      </c>
      <c r="G659">
        <v>34.24389</v>
      </c>
      <c r="H659">
        <v>4809</v>
      </c>
    </row>
    <row r="660" spans="1:8" x14ac:dyDescent="0.45">
      <c r="A660">
        <v>2020</v>
      </c>
      <c r="B660" t="s">
        <v>37</v>
      </c>
      <c r="C660">
        <v>339.4</v>
      </c>
      <c r="D660">
        <v>22.3291</v>
      </c>
      <c r="E660">
        <v>16.1021</v>
      </c>
      <c r="F660">
        <v>4.1779999999999999</v>
      </c>
      <c r="G660">
        <v>166.56505899999999</v>
      </c>
      <c r="H660">
        <v>58387</v>
      </c>
    </row>
    <row r="661" spans="1:8" x14ac:dyDescent="0.45">
      <c r="A661">
        <v>2020</v>
      </c>
      <c r="B661" t="s">
        <v>38</v>
      </c>
      <c r="C661">
        <v>416.3</v>
      </c>
      <c r="D661">
        <v>1.9331700000000001</v>
      </c>
      <c r="E661">
        <v>0.20115</v>
      </c>
      <c r="F661">
        <v>6.2E-2</v>
      </c>
      <c r="G661">
        <v>171.28267099999999</v>
      </c>
      <c r="H661">
        <v>3889</v>
      </c>
    </row>
    <row r="662" spans="1:8" x14ac:dyDescent="0.45">
      <c r="A662">
        <v>2021</v>
      </c>
      <c r="B662" t="s">
        <v>8</v>
      </c>
      <c r="C662">
        <v>45.3</v>
      </c>
      <c r="D662">
        <v>1.19173</v>
      </c>
      <c r="E662">
        <v>0.46118999999999999</v>
      </c>
      <c r="F662">
        <v>9.0999999999999998E-2</v>
      </c>
      <c r="G662">
        <v>20.993886</v>
      </c>
      <c r="H662">
        <v>2299</v>
      </c>
    </row>
    <row r="663" spans="1:8" x14ac:dyDescent="0.45">
      <c r="A663">
        <v>2021</v>
      </c>
      <c r="B663" t="s">
        <v>9</v>
      </c>
      <c r="C663">
        <v>31.1</v>
      </c>
      <c r="D663">
        <v>1.73976</v>
      </c>
      <c r="E663">
        <v>1.34171</v>
      </c>
      <c r="F663">
        <v>0.41299999999999998</v>
      </c>
      <c r="G663">
        <v>16.741343000000001</v>
      </c>
      <c r="H663">
        <v>3656</v>
      </c>
    </row>
    <row r="664" spans="1:8" x14ac:dyDescent="0.45">
      <c r="A664">
        <v>2021</v>
      </c>
      <c r="B664" t="s">
        <v>10</v>
      </c>
      <c r="C664">
        <v>209.6</v>
      </c>
      <c r="D664">
        <v>3.7877700000000001</v>
      </c>
      <c r="E664">
        <v>1.52397</v>
      </c>
      <c r="F664">
        <v>0.33400000000000002</v>
      </c>
      <c r="G664">
        <v>104.08543</v>
      </c>
      <c r="H664">
        <v>10257</v>
      </c>
    </row>
    <row r="665" spans="1:8" x14ac:dyDescent="0.45">
      <c r="A665">
        <v>2021</v>
      </c>
      <c r="B665" t="s">
        <v>11</v>
      </c>
      <c r="C665">
        <v>38.5</v>
      </c>
      <c r="D665">
        <v>2.1794899999999999</v>
      </c>
      <c r="E665">
        <v>1.36195</v>
      </c>
      <c r="F665">
        <v>0.39500000000000002</v>
      </c>
      <c r="G665">
        <v>21.005652000000001</v>
      </c>
      <c r="H665">
        <v>7352</v>
      </c>
    </row>
    <row r="666" spans="1:8" x14ac:dyDescent="0.45">
      <c r="A666">
        <v>2021</v>
      </c>
      <c r="B666" t="s">
        <v>12</v>
      </c>
      <c r="C666">
        <v>44</v>
      </c>
      <c r="D666">
        <v>0.40860999999999997</v>
      </c>
      <c r="E666">
        <v>0.18606</v>
      </c>
      <c r="F666">
        <v>3.7999999999999999E-2</v>
      </c>
      <c r="G666">
        <v>17.688997000000001</v>
      </c>
      <c r="H666">
        <v>980</v>
      </c>
    </row>
    <row r="667" spans="1:8" x14ac:dyDescent="0.45">
      <c r="A667">
        <v>2021</v>
      </c>
      <c r="B667" t="s">
        <v>13</v>
      </c>
      <c r="C667">
        <v>50.6</v>
      </c>
      <c r="D667">
        <v>0.64659</v>
      </c>
      <c r="E667">
        <v>0.23075000000000001</v>
      </c>
      <c r="F667">
        <v>5.3999999999999999E-2</v>
      </c>
      <c r="G667">
        <v>21.657201000000001</v>
      </c>
      <c r="H667">
        <v>1339</v>
      </c>
    </row>
    <row r="668" spans="1:8" x14ac:dyDescent="0.45">
      <c r="A668">
        <v>2021</v>
      </c>
      <c r="B668" t="s">
        <v>14</v>
      </c>
      <c r="C668">
        <v>98.1</v>
      </c>
      <c r="D668">
        <v>1.5339799999999999</v>
      </c>
      <c r="E668">
        <v>0.29360000000000003</v>
      </c>
      <c r="F668">
        <v>0.11</v>
      </c>
      <c r="G668">
        <v>40.767859999999999</v>
      </c>
      <c r="H668">
        <v>5942</v>
      </c>
    </row>
    <row r="669" spans="1:8" x14ac:dyDescent="0.45">
      <c r="A669">
        <v>2021</v>
      </c>
      <c r="B669" t="s">
        <v>15</v>
      </c>
      <c r="C669">
        <v>19.5</v>
      </c>
      <c r="D669">
        <v>0.56598000000000004</v>
      </c>
      <c r="E669">
        <v>0.22958999999999999</v>
      </c>
      <c r="F669">
        <v>6.7000000000000004E-2</v>
      </c>
      <c r="G669">
        <v>9.1711430000000007</v>
      </c>
      <c r="H669">
        <v>1116</v>
      </c>
    </row>
    <row r="670" spans="1:8" x14ac:dyDescent="0.45">
      <c r="A670">
        <v>2021</v>
      </c>
      <c r="B670" t="s">
        <v>16</v>
      </c>
      <c r="C670">
        <v>1458.2</v>
      </c>
      <c r="D670">
        <v>29.9773</v>
      </c>
      <c r="E670">
        <v>9.1321999999999992</v>
      </c>
      <c r="F670">
        <v>6.5000000000000002E-2</v>
      </c>
      <c r="G670">
        <v>785.46557900000005</v>
      </c>
      <c r="H670">
        <v>83505</v>
      </c>
    </row>
    <row r="671" spans="1:8" x14ac:dyDescent="0.45">
      <c r="A671">
        <v>2021</v>
      </c>
      <c r="B671" t="s">
        <v>17</v>
      </c>
      <c r="C671">
        <v>463.3</v>
      </c>
      <c r="D671">
        <v>1.29487</v>
      </c>
      <c r="E671">
        <v>0.32341999999999999</v>
      </c>
      <c r="F671">
        <v>0.10299999999999999</v>
      </c>
      <c r="G671">
        <v>191.75798499999999</v>
      </c>
      <c r="H671">
        <v>6033</v>
      </c>
    </row>
    <row r="672" spans="1:8" x14ac:dyDescent="0.45">
      <c r="A672">
        <v>2021</v>
      </c>
      <c r="B672" t="s">
        <v>18</v>
      </c>
      <c r="C672">
        <v>447.7</v>
      </c>
      <c r="D672">
        <v>23.194199999999999</v>
      </c>
      <c r="E672">
        <v>10.9907</v>
      </c>
      <c r="F672">
        <v>3.2069999999999999</v>
      </c>
      <c r="G672">
        <v>216.263893</v>
      </c>
      <c r="H672">
        <v>40743</v>
      </c>
    </row>
    <row r="673" spans="1:8" x14ac:dyDescent="0.45">
      <c r="A673">
        <v>2021</v>
      </c>
      <c r="B673" t="s">
        <v>19</v>
      </c>
      <c r="C673">
        <v>1414.2</v>
      </c>
      <c r="D673">
        <v>11.384399999999999</v>
      </c>
      <c r="E673">
        <v>1.9852300000000001</v>
      </c>
      <c r="F673">
        <v>0.86799999999999999</v>
      </c>
      <c r="G673">
        <v>550.35287700000003</v>
      </c>
      <c r="H673">
        <v>26433</v>
      </c>
    </row>
    <row r="674" spans="1:8" x14ac:dyDescent="0.45">
      <c r="A674">
        <v>2021</v>
      </c>
      <c r="B674" t="s">
        <v>20</v>
      </c>
      <c r="C674">
        <v>125.7</v>
      </c>
      <c r="D674">
        <v>5.5746500000000001</v>
      </c>
      <c r="E674">
        <v>3.3572299999999999</v>
      </c>
      <c r="F674">
        <v>1.117</v>
      </c>
      <c r="G674">
        <v>68.671336999999994</v>
      </c>
      <c r="H674">
        <v>10017</v>
      </c>
    </row>
    <row r="675" spans="1:8" x14ac:dyDescent="0.45">
      <c r="A675">
        <v>2021</v>
      </c>
      <c r="B675" t="s">
        <v>21</v>
      </c>
      <c r="C675">
        <v>139.19999999999999</v>
      </c>
      <c r="D675">
        <v>3.3647999999999998</v>
      </c>
      <c r="E675">
        <v>1.2003699999999999</v>
      </c>
      <c r="F675">
        <v>0.38500000000000001</v>
      </c>
      <c r="G675">
        <v>49.293784000000002</v>
      </c>
      <c r="H675">
        <v>5894</v>
      </c>
    </row>
    <row r="676" spans="1:8" x14ac:dyDescent="0.45">
      <c r="A676">
        <v>2021</v>
      </c>
      <c r="B676" t="s">
        <v>22</v>
      </c>
      <c r="C676">
        <v>127.6</v>
      </c>
      <c r="D676">
        <v>2.65286</v>
      </c>
      <c r="E676">
        <v>1.01833</v>
      </c>
      <c r="F676">
        <v>0.247</v>
      </c>
      <c r="G676">
        <v>56.864047999999997</v>
      </c>
      <c r="H676">
        <v>3996</v>
      </c>
    </row>
    <row r="677" spans="1:8" x14ac:dyDescent="0.45">
      <c r="A677">
        <v>2021</v>
      </c>
      <c r="B677" t="s">
        <v>23</v>
      </c>
      <c r="C677">
        <v>193.8</v>
      </c>
      <c r="D677">
        <v>0.67605999999999999</v>
      </c>
      <c r="E677">
        <v>0.15895000000000001</v>
      </c>
      <c r="F677">
        <v>6.8000000000000005E-2</v>
      </c>
      <c r="G677">
        <v>70.981449999999995</v>
      </c>
      <c r="H677">
        <v>2229</v>
      </c>
    </row>
    <row r="678" spans="1:8" x14ac:dyDescent="0.45">
      <c r="A678">
        <v>2021</v>
      </c>
      <c r="B678" t="s">
        <v>24</v>
      </c>
      <c r="C678">
        <v>71.400000000000006</v>
      </c>
      <c r="D678">
        <v>1.9010199999999999</v>
      </c>
      <c r="E678">
        <v>0.54357</v>
      </c>
      <c r="F678">
        <v>0.17399999999999999</v>
      </c>
      <c r="G678">
        <v>37.315829000000001</v>
      </c>
      <c r="H678">
        <v>4656</v>
      </c>
    </row>
    <row r="679" spans="1:8" x14ac:dyDescent="0.45">
      <c r="A679">
        <v>2021</v>
      </c>
      <c r="B679" t="s">
        <v>25</v>
      </c>
      <c r="C679">
        <v>260.5</v>
      </c>
      <c r="D679">
        <v>3.0972900000000001</v>
      </c>
      <c r="E679">
        <v>0.74617999999999995</v>
      </c>
      <c r="F679">
        <v>0.183</v>
      </c>
      <c r="G679">
        <v>73.940062999999995</v>
      </c>
      <c r="H679">
        <v>5877</v>
      </c>
    </row>
    <row r="680" spans="1:8" x14ac:dyDescent="0.45">
      <c r="A680">
        <v>2021</v>
      </c>
      <c r="B680" t="s">
        <v>26</v>
      </c>
      <c r="C680">
        <v>223</v>
      </c>
      <c r="D680">
        <v>5.2166800000000002</v>
      </c>
      <c r="E680">
        <v>1.3795500000000001</v>
      </c>
      <c r="F680">
        <v>0.32100000000000001</v>
      </c>
      <c r="G680">
        <v>73.447084000000004</v>
      </c>
      <c r="H680">
        <v>20324</v>
      </c>
    </row>
    <row r="681" spans="1:8" x14ac:dyDescent="0.45">
      <c r="A681">
        <v>2021</v>
      </c>
      <c r="B681" t="s">
        <v>27</v>
      </c>
      <c r="C681">
        <v>51.8</v>
      </c>
      <c r="D681">
        <v>2.5066600000000001</v>
      </c>
      <c r="E681">
        <v>1.0785499999999999</v>
      </c>
      <c r="F681">
        <v>0.50900000000000001</v>
      </c>
      <c r="G681">
        <v>28.560791999999999</v>
      </c>
      <c r="H681">
        <v>5689</v>
      </c>
    </row>
    <row r="682" spans="1:8" x14ac:dyDescent="0.45">
      <c r="A682">
        <v>2021</v>
      </c>
      <c r="B682" t="s">
        <v>28</v>
      </c>
      <c r="C682">
        <v>145.80000000000001</v>
      </c>
      <c r="D682">
        <v>5.6882700000000002</v>
      </c>
      <c r="E682">
        <v>1.0862700000000001</v>
      </c>
      <c r="F682">
        <v>0.317</v>
      </c>
      <c r="G682">
        <v>73.846056000000004</v>
      </c>
      <c r="H682">
        <v>19474</v>
      </c>
    </row>
    <row r="683" spans="1:8" x14ac:dyDescent="0.45">
      <c r="A683">
        <v>2021</v>
      </c>
      <c r="B683" t="s">
        <v>29</v>
      </c>
      <c r="C683">
        <v>61.5</v>
      </c>
      <c r="D683">
        <v>0.84328000000000003</v>
      </c>
      <c r="E683">
        <v>0.30541000000000001</v>
      </c>
      <c r="F683">
        <v>4.9000000000000002E-2</v>
      </c>
      <c r="G683">
        <v>25.16704</v>
      </c>
      <c r="H683">
        <v>2224</v>
      </c>
    </row>
    <row r="684" spans="1:8" x14ac:dyDescent="0.45">
      <c r="A684">
        <v>2021</v>
      </c>
      <c r="B684" t="s">
        <v>30</v>
      </c>
      <c r="C684">
        <v>154</v>
      </c>
      <c r="D684">
        <v>1.98115</v>
      </c>
      <c r="E684">
        <v>0.66859999999999997</v>
      </c>
      <c r="F684">
        <v>0.159</v>
      </c>
      <c r="G684">
        <v>75.062642999999994</v>
      </c>
      <c r="H684">
        <v>4114</v>
      </c>
    </row>
    <row r="685" spans="1:8" x14ac:dyDescent="0.45">
      <c r="A685">
        <v>2021</v>
      </c>
      <c r="B685" t="s">
        <v>31</v>
      </c>
      <c r="C685">
        <v>706.2</v>
      </c>
      <c r="D685">
        <v>9.4090299999999996</v>
      </c>
      <c r="E685">
        <v>2.01681</v>
      </c>
      <c r="F685">
        <v>0.82599999999999996</v>
      </c>
      <c r="G685">
        <v>349.43924500000003</v>
      </c>
      <c r="H685">
        <v>16942</v>
      </c>
    </row>
    <row r="686" spans="1:8" x14ac:dyDescent="0.45">
      <c r="A686">
        <v>2021</v>
      </c>
      <c r="B686" t="s">
        <v>32</v>
      </c>
      <c r="C686">
        <v>8.6999999999999993</v>
      </c>
      <c r="D686">
        <v>8.8179999999999994E-2</v>
      </c>
      <c r="E686">
        <v>3.0519999999999999E-2</v>
      </c>
      <c r="F686">
        <v>7.0000000000000001E-3</v>
      </c>
      <c r="G686">
        <v>3.2765870000000001</v>
      </c>
      <c r="H686">
        <v>227</v>
      </c>
    </row>
    <row r="687" spans="1:8" x14ac:dyDescent="0.45">
      <c r="A687">
        <v>2021</v>
      </c>
      <c r="B687" t="s">
        <v>33</v>
      </c>
      <c r="C687">
        <v>500.6</v>
      </c>
      <c r="D687">
        <v>3.0901299999999998</v>
      </c>
      <c r="E687">
        <v>0.69469000000000003</v>
      </c>
      <c r="F687">
        <v>0.17699999999999999</v>
      </c>
      <c r="G687">
        <v>178.16878500000001</v>
      </c>
      <c r="H687">
        <v>6010</v>
      </c>
    </row>
    <row r="688" spans="1:8" x14ac:dyDescent="0.45">
      <c r="A688">
        <v>2021</v>
      </c>
      <c r="B688" t="s">
        <v>34</v>
      </c>
      <c r="C688">
        <v>8.6999999999999993</v>
      </c>
      <c r="D688">
        <v>0.70508000000000004</v>
      </c>
      <c r="E688">
        <v>0.46795999999999999</v>
      </c>
      <c r="F688">
        <v>0.20100000000000001</v>
      </c>
      <c r="G688">
        <v>4.987374</v>
      </c>
      <c r="H688">
        <v>768</v>
      </c>
    </row>
    <row r="689" spans="1:8" x14ac:dyDescent="0.45">
      <c r="A689">
        <v>2021</v>
      </c>
      <c r="B689" t="s">
        <v>35</v>
      </c>
      <c r="C689">
        <v>13.5</v>
      </c>
      <c r="D689">
        <v>5.6149999999999999E-2</v>
      </c>
      <c r="E689">
        <v>4.4200000000000003E-3</v>
      </c>
      <c r="F689">
        <v>1E-3</v>
      </c>
      <c r="G689">
        <v>4.6694290000000001</v>
      </c>
      <c r="H689">
        <v>228</v>
      </c>
    </row>
    <row r="690" spans="1:8" x14ac:dyDescent="0.45">
      <c r="A690">
        <v>2021</v>
      </c>
      <c r="B690" t="s">
        <v>36</v>
      </c>
      <c r="C690">
        <v>67.7</v>
      </c>
      <c r="D690">
        <v>3.41648</v>
      </c>
      <c r="E690">
        <v>2.5544699999999998</v>
      </c>
      <c r="F690">
        <v>0.54700000000000004</v>
      </c>
      <c r="G690">
        <v>34.094107000000001</v>
      </c>
      <c r="H690">
        <v>5058</v>
      </c>
    </row>
    <row r="691" spans="1:8" x14ac:dyDescent="0.45">
      <c r="A691">
        <v>2021</v>
      </c>
      <c r="B691" t="s">
        <v>37</v>
      </c>
      <c r="C691">
        <v>340.2</v>
      </c>
      <c r="D691">
        <v>23.6812</v>
      </c>
      <c r="E691">
        <v>17.275099999999998</v>
      </c>
      <c r="F691">
        <v>4.46</v>
      </c>
      <c r="G691">
        <v>167.182196</v>
      </c>
      <c r="H691">
        <v>61557</v>
      </c>
    </row>
    <row r="692" spans="1:8" x14ac:dyDescent="0.45">
      <c r="A692">
        <v>2021</v>
      </c>
      <c r="B692" t="s">
        <v>38</v>
      </c>
      <c r="C692">
        <v>426</v>
      </c>
      <c r="D692">
        <v>2.01783</v>
      </c>
      <c r="E692">
        <v>0.21293000000000001</v>
      </c>
      <c r="F692">
        <v>6.7000000000000004E-2</v>
      </c>
      <c r="G692">
        <v>176.813435</v>
      </c>
      <c r="H692">
        <v>4211</v>
      </c>
    </row>
    <row r="693" spans="1:8" x14ac:dyDescent="0.45">
      <c r="A693">
        <v>2022</v>
      </c>
      <c r="B693" t="s">
        <v>8</v>
      </c>
      <c r="C693">
        <v>45.4</v>
      </c>
      <c r="D693">
        <v>1.2545299999999999</v>
      </c>
      <c r="E693">
        <v>0.49941999999999998</v>
      </c>
      <c r="F693">
        <v>0.10100000000000001</v>
      </c>
      <c r="G693">
        <v>21.566905999999999</v>
      </c>
      <c r="H693">
        <v>2293</v>
      </c>
    </row>
    <row r="694" spans="1:8" x14ac:dyDescent="0.45">
      <c r="A694">
        <v>2022</v>
      </c>
      <c r="B694" t="s">
        <v>9</v>
      </c>
      <c r="C694">
        <v>31.3</v>
      </c>
      <c r="D694">
        <v>1.8117399999999999</v>
      </c>
      <c r="E694">
        <v>1.4053800000000001</v>
      </c>
      <c r="F694">
        <v>0.44</v>
      </c>
      <c r="G694">
        <v>17.141207999999999</v>
      </c>
      <c r="H694">
        <v>3680</v>
      </c>
    </row>
    <row r="695" spans="1:8" x14ac:dyDescent="0.45">
      <c r="A695">
        <v>2022</v>
      </c>
      <c r="B695" t="s">
        <v>10</v>
      </c>
      <c r="C695">
        <v>210.3</v>
      </c>
      <c r="D695">
        <v>3.90204</v>
      </c>
      <c r="E695">
        <v>1.5805100000000001</v>
      </c>
      <c r="F695">
        <v>0.33800000000000002</v>
      </c>
      <c r="G695">
        <v>106.610573</v>
      </c>
      <c r="H695">
        <v>10238</v>
      </c>
    </row>
    <row r="696" spans="1:8" x14ac:dyDescent="0.45">
      <c r="A696">
        <v>2022</v>
      </c>
      <c r="B696" t="s">
        <v>11</v>
      </c>
      <c r="C696">
        <v>38.799999999999997</v>
      </c>
      <c r="D696">
        <v>2.2707899999999999</v>
      </c>
      <c r="E696">
        <v>1.4274500000000001</v>
      </c>
      <c r="F696">
        <v>0.39</v>
      </c>
      <c r="G696">
        <v>21.454656</v>
      </c>
      <c r="H696">
        <v>7641</v>
      </c>
    </row>
    <row r="697" spans="1:8" x14ac:dyDescent="0.45">
      <c r="A697">
        <v>2022</v>
      </c>
      <c r="B697" t="s">
        <v>12</v>
      </c>
      <c r="C697">
        <v>44.2</v>
      </c>
      <c r="D697">
        <v>0.42781000000000002</v>
      </c>
      <c r="E697">
        <v>0.19203000000000001</v>
      </c>
      <c r="F697">
        <v>3.9E-2</v>
      </c>
      <c r="G697">
        <v>18.008737</v>
      </c>
      <c r="H697">
        <v>1003</v>
      </c>
    </row>
    <row r="698" spans="1:8" x14ac:dyDescent="0.45">
      <c r="A698">
        <v>2022</v>
      </c>
      <c r="B698" t="s">
        <v>13</v>
      </c>
      <c r="C698">
        <v>51.2</v>
      </c>
      <c r="D698">
        <v>0.68203999999999998</v>
      </c>
      <c r="E698">
        <v>0.23960000000000001</v>
      </c>
      <c r="F698">
        <v>5.8000000000000003E-2</v>
      </c>
      <c r="G698">
        <v>22.577103999999999</v>
      </c>
      <c r="H698">
        <v>1366</v>
      </c>
    </row>
    <row r="699" spans="1:8" x14ac:dyDescent="0.45">
      <c r="A699">
        <v>2022</v>
      </c>
      <c r="B699" t="s">
        <v>14</v>
      </c>
      <c r="C699">
        <v>99.7</v>
      </c>
      <c r="D699">
        <v>1.6134900000000001</v>
      </c>
      <c r="E699">
        <v>0.31062000000000001</v>
      </c>
      <c r="F699">
        <v>0.113</v>
      </c>
      <c r="G699">
        <v>41.577922999999998</v>
      </c>
      <c r="H699">
        <v>6042</v>
      </c>
    </row>
    <row r="700" spans="1:8" x14ac:dyDescent="0.45">
      <c r="A700">
        <v>2022</v>
      </c>
      <c r="B700" t="s">
        <v>15</v>
      </c>
      <c r="C700">
        <v>19.600000000000001</v>
      </c>
      <c r="D700">
        <v>0.57816999999999996</v>
      </c>
      <c r="E700">
        <v>0.23527000000000001</v>
      </c>
      <c r="F700">
        <v>7.0000000000000007E-2</v>
      </c>
      <c r="G700">
        <v>9.6707280000000004</v>
      </c>
      <c r="H700">
        <v>1211</v>
      </c>
    </row>
    <row r="701" spans="1:8" x14ac:dyDescent="0.45">
      <c r="A701">
        <v>2022</v>
      </c>
      <c r="B701" t="s">
        <v>16</v>
      </c>
      <c r="C701">
        <v>1456.8</v>
      </c>
      <c r="D701">
        <v>30.872</v>
      </c>
      <c r="E701">
        <v>9.3742699999999992</v>
      </c>
      <c r="F701">
        <v>0.06</v>
      </c>
      <c r="G701">
        <v>774.294487</v>
      </c>
      <c r="H701">
        <v>87513</v>
      </c>
    </row>
    <row r="702" spans="1:8" x14ac:dyDescent="0.45">
      <c r="A702">
        <v>2022</v>
      </c>
      <c r="B702" t="s">
        <v>17</v>
      </c>
      <c r="C702">
        <v>475.3</v>
      </c>
      <c r="D702">
        <v>1.3589500000000001</v>
      </c>
      <c r="E702">
        <v>0.33817999999999998</v>
      </c>
      <c r="F702">
        <v>0.11</v>
      </c>
      <c r="G702">
        <v>198.70200199999999</v>
      </c>
      <c r="H702">
        <v>6199</v>
      </c>
    </row>
    <row r="703" spans="1:8" x14ac:dyDescent="0.45">
      <c r="A703">
        <v>2022</v>
      </c>
      <c r="B703" t="s">
        <v>18</v>
      </c>
      <c r="C703">
        <v>449.1</v>
      </c>
      <c r="D703">
        <v>24.035699999999999</v>
      </c>
      <c r="E703">
        <v>11.387</v>
      </c>
      <c r="F703">
        <v>3.2749999999999999</v>
      </c>
      <c r="G703">
        <v>219.294174</v>
      </c>
      <c r="H703">
        <v>39026</v>
      </c>
    </row>
    <row r="704" spans="1:8" x14ac:dyDescent="0.45">
      <c r="A704">
        <v>2022</v>
      </c>
      <c r="B704" t="s">
        <v>19</v>
      </c>
      <c r="C704">
        <v>1425.4</v>
      </c>
      <c r="D704">
        <v>12.2506</v>
      </c>
      <c r="E704">
        <v>2.1244000000000001</v>
      </c>
      <c r="F704">
        <v>0.94099999999999995</v>
      </c>
      <c r="G704">
        <v>568.90096000000005</v>
      </c>
      <c r="H704">
        <v>28515</v>
      </c>
    </row>
    <row r="705" spans="1:8" x14ac:dyDescent="0.45">
      <c r="A705">
        <v>2022</v>
      </c>
      <c r="B705" t="s">
        <v>20</v>
      </c>
      <c r="C705">
        <v>125</v>
      </c>
      <c r="D705">
        <v>5.6271599999999999</v>
      </c>
      <c r="E705">
        <v>3.42035</v>
      </c>
      <c r="F705">
        <v>1.111</v>
      </c>
      <c r="G705">
        <v>68.929060000000007</v>
      </c>
      <c r="H705">
        <v>9886</v>
      </c>
    </row>
    <row r="706" spans="1:8" x14ac:dyDescent="0.45">
      <c r="A706">
        <v>2022</v>
      </c>
      <c r="B706" t="s">
        <v>21</v>
      </c>
      <c r="C706">
        <v>140.9</v>
      </c>
      <c r="D706">
        <v>3.5419499999999999</v>
      </c>
      <c r="E706">
        <v>1.3508599999999999</v>
      </c>
      <c r="F706">
        <v>0.39900000000000002</v>
      </c>
      <c r="G706">
        <v>51.625715999999997</v>
      </c>
      <c r="H706">
        <v>5880</v>
      </c>
    </row>
    <row r="707" spans="1:8" x14ac:dyDescent="0.45">
      <c r="A707">
        <v>2022</v>
      </c>
      <c r="B707" t="s">
        <v>22</v>
      </c>
      <c r="C707">
        <v>128.6</v>
      </c>
      <c r="D707">
        <v>2.7513100000000001</v>
      </c>
      <c r="E707">
        <v>1.06348</v>
      </c>
      <c r="F707">
        <v>0.26600000000000001</v>
      </c>
      <c r="G707">
        <v>58.544384999999998</v>
      </c>
      <c r="H707">
        <v>4426</v>
      </c>
    </row>
    <row r="708" spans="1:8" x14ac:dyDescent="0.45">
      <c r="A708">
        <v>2022</v>
      </c>
      <c r="B708" t="s">
        <v>23</v>
      </c>
      <c r="C708">
        <v>199.7</v>
      </c>
      <c r="D708">
        <v>0.70874999999999999</v>
      </c>
      <c r="E708">
        <v>0.16572999999999999</v>
      </c>
      <c r="F708">
        <v>7.8E-2</v>
      </c>
      <c r="G708">
        <v>73.289986999999996</v>
      </c>
      <c r="H708">
        <v>2337</v>
      </c>
    </row>
    <row r="709" spans="1:8" x14ac:dyDescent="0.45">
      <c r="A709">
        <v>2022</v>
      </c>
      <c r="B709" t="s">
        <v>24</v>
      </c>
      <c r="C709">
        <v>68.099999999999994</v>
      </c>
      <c r="D709">
        <v>1.70286</v>
      </c>
      <c r="E709">
        <v>0.54652999999999996</v>
      </c>
      <c r="F709">
        <v>0.16600000000000001</v>
      </c>
      <c r="G709">
        <v>16.754904</v>
      </c>
      <c r="H709">
        <v>3942</v>
      </c>
    </row>
    <row r="710" spans="1:8" x14ac:dyDescent="0.45">
      <c r="A710">
        <v>2022</v>
      </c>
      <c r="B710" t="s">
        <v>25</v>
      </c>
      <c r="C710">
        <v>264.7</v>
      </c>
      <c r="D710">
        <v>3.2345299999999999</v>
      </c>
      <c r="E710">
        <v>0.76302999999999999</v>
      </c>
      <c r="F710">
        <v>0.193</v>
      </c>
      <c r="G710">
        <v>75.285201999999998</v>
      </c>
      <c r="H710">
        <v>6143</v>
      </c>
    </row>
    <row r="711" spans="1:8" x14ac:dyDescent="0.45">
      <c r="A711">
        <v>2022</v>
      </c>
      <c r="B711" t="s">
        <v>26</v>
      </c>
      <c r="C711">
        <v>228</v>
      </c>
      <c r="D711">
        <v>5.6365400000000001</v>
      </c>
      <c r="E711">
        <v>1.47749</v>
      </c>
      <c r="F711">
        <v>0.36699999999999999</v>
      </c>
      <c r="G711">
        <v>76.627229</v>
      </c>
      <c r="H711">
        <v>19977</v>
      </c>
    </row>
    <row r="712" spans="1:8" x14ac:dyDescent="0.45">
      <c r="A712">
        <v>2022</v>
      </c>
      <c r="B712" t="s">
        <v>27</v>
      </c>
      <c r="C712">
        <v>51.8</v>
      </c>
      <c r="D712">
        <v>2.5721500000000002</v>
      </c>
      <c r="E712">
        <v>1.12276</v>
      </c>
      <c r="F712">
        <v>0.50700000000000001</v>
      </c>
      <c r="G712">
        <v>29.201402000000002</v>
      </c>
      <c r="H712">
        <v>5567</v>
      </c>
    </row>
    <row r="713" spans="1:8" x14ac:dyDescent="0.45">
      <c r="A713">
        <v>2022</v>
      </c>
      <c r="B713" t="s">
        <v>28</v>
      </c>
      <c r="C713">
        <v>145.6</v>
      </c>
      <c r="D713">
        <v>5.6065899999999997</v>
      </c>
      <c r="E713">
        <v>1.0824</v>
      </c>
      <c r="F713">
        <v>0.32700000000000001</v>
      </c>
      <c r="G713">
        <v>73.531906000000006</v>
      </c>
      <c r="H713">
        <v>19309</v>
      </c>
    </row>
    <row r="714" spans="1:8" x14ac:dyDescent="0.45">
      <c r="A714">
        <v>2022</v>
      </c>
      <c r="B714" t="s">
        <v>29</v>
      </c>
      <c r="C714">
        <v>62.4</v>
      </c>
      <c r="D714">
        <v>0.85940000000000005</v>
      </c>
      <c r="E714">
        <v>0.31163000000000002</v>
      </c>
      <c r="F714">
        <v>5.1999999999999998E-2</v>
      </c>
      <c r="G714">
        <v>26.170358</v>
      </c>
      <c r="H714">
        <v>2185</v>
      </c>
    </row>
    <row r="715" spans="1:8" x14ac:dyDescent="0.45">
      <c r="A715">
        <v>2022</v>
      </c>
      <c r="B715" t="s">
        <v>30</v>
      </c>
      <c r="C715">
        <v>155.19999999999999</v>
      </c>
      <c r="D715">
        <v>2.0954299999999999</v>
      </c>
      <c r="E715">
        <v>0.70879000000000003</v>
      </c>
      <c r="F715">
        <v>0.17</v>
      </c>
      <c r="G715">
        <v>76.345427999999998</v>
      </c>
      <c r="H715">
        <v>4427</v>
      </c>
    </row>
    <row r="716" spans="1:8" x14ac:dyDescent="0.45">
      <c r="A716">
        <v>2022</v>
      </c>
      <c r="B716" t="s">
        <v>31</v>
      </c>
      <c r="C716">
        <v>711.2</v>
      </c>
      <c r="D716">
        <v>9.9476499999999994</v>
      </c>
      <c r="E716">
        <v>2.1371000000000002</v>
      </c>
      <c r="F716">
        <v>0.86599999999999999</v>
      </c>
      <c r="G716">
        <v>361.05685899999997</v>
      </c>
      <c r="H716">
        <v>20022</v>
      </c>
    </row>
    <row r="717" spans="1:8" x14ac:dyDescent="0.45">
      <c r="A717">
        <v>2022</v>
      </c>
      <c r="B717" t="s">
        <v>32</v>
      </c>
      <c r="C717">
        <v>8.8000000000000007</v>
      </c>
      <c r="D717">
        <v>9.2289999999999997E-2</v>
      </c>
      <c r="E717">
        <v>3.1829999999999997E-2</v>
      </c>
      <c r="F717">
        <v>7.0000000000000001E-3</v>
      </c>
      <c r="G717">
        <v>3.3785690000000002</v>
      </c>
      <c r="H717">
        <v>219</v>
      </c>
    </row>
    <row r="718" spans="1:8" x14ac:dyDescent="0.45">
      <c r="A718">
        <v>2022</v>
      </c>
      <c r="B718" t="s">
        <v>33</v>
      </c>
      <c r="C718">
        <v>507.5</v>
      </c>
      <c r="D718">
        <v>3.2209099999999999</v>
      </c>
      <c r="E718">
        <v>0.73665999999999998</v>
      </c>
      <c r="F718">
        <v>0.184</v>
      </c>
      <c r="G718">
        <v>181.132374</v>
      </c>
      <c r="H718">
        <v>5914</v>
      </c>
    </row>
    <row r="719" spans="1:8" x14ac:dyDescent="0.45">
      <c r="A719">
        <v>2022</v>
      </c>
      <c r="B719" t="s">
        <v>34</v>
      </c>
      <c r="C719">
        <v>8.8000000000000007</v>
      </c>
      <c r="D719">
        <v>0.72653999999999996</v>
      </c>
      <c r="E719">
        <v>0.48303000000000001</v>
      </c>
      <c r="F719">
        <v>0.20100000000000001</v>
      </c>
      <c r="G719">
        <v>4.9676489999999998</v>
      </c>
      <c r="H719">
        <v>709</v>
      </c>
    </row>
    <row r="720" spans="1:8" x14ac:dyDescent="0.45">
      <c r="A720">
        <v>2022</v>
      </c>
      <c r="B720" t="s">
        <v>35</v>
      </c>
      <c r="C720">
        <v>13.7</v>
      </c>
      <c r="D720">
        <v>6.037E-2</v>
      </c>
      <c r="E720">
        <v>4.3800000000000002E-3</v>
      </c>
      <c r="F720">
        <v>1E-3</v>
      </c>
      <c r="G720">
        <v>4.8175030000000003</v>
      </c>
      <c r="H720">
        <v>236</v>
      </c>
    </row>
    <row r="721" spans="1:8" x14ac:dyDescent="0.45">
      <c r="A721">
        <v>2022</v>
      </c>
      <c r="B721" t="s">
        <v>36</v>
      </c>
      <c r="C721">
        <v>68.2</v>
      </c>
      <c r="D721">
        <v>3.5818099999999999</v>
      </c>
      <c r="E721">
        <v>2.69706</v>
      </c>
      <c r="F721">
        <v>0.57499999999999996</v>
      </c>
      <c r="G721">
        <v>34.472366999999998</v>
      </c>
      <c r="H721">
        <v>4849</v>
      </c>
    </row>
    <row r="722" spans="1:8" x14ac:dyDescent="0.45">
      <c r="A722">
        <v>2022</v>
      </c>
      <c r="B722" t="s">
        <v>37</v>
      </c>
      <c r="C722">
        <v>341.5</v>
      </c>
      <c r="D722">
        <v>24.2761</v>
      </c>
      <c r="E722">
        <v>17.678599999999999</v>
      </c>
      <c r="F722">
        <v>4.6749999999999998</v>
      </c>
      <c r="G722">
        <v>169.4941</v>
      </c>
      <c r="H722">
        <v>63572</v>
      </c>
    </row>
    <row r="723" spans="1:8" x14ac:dyDescent="0.45">
      <c r="A723">
        <v>2022</v>
      </c>
      <c r="B723" t="s">
        <v>38</v>
      </c>
      <c r="C723">
        <v>435.9</v>
      </c>
      <c r="D723">
        <v>2.09796</v>
      </c>
      <c r="E723">
        <v>0.22284000000000001</v>
      </c>
      <c r="F723">
        <v>7.0000000000000007E-2</v>
      </c>
      <c r="G723">
        <v>181.93863999999999</v>
      </c>
      <c r="H723">
        <v>4331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 macro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Escamilla Garcia, Gerardo Alonso</dc:creator>
  <cp:lastModifiedBy>Gerardo Escamilla</cp:lastModifiedBy>
  <dcterms:created xsi:type="dcterms:W3CDTF">2025-11-16T18:44:47Z</dcterms:created>
  <dcterms:modified xsi:type="dcterms:W3CDTF">2025-11-16T19:43:38Z</dcterms:modified>
</cp:coreProperties>
</file>